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eduar\Desktop\пдф в эксель\"/>
    </mc:Choice>
  </mc:AlternateContent>
  <xr:revisionPtr revIDLastSave="0" documentId="13_ncr:1_{959DCB34-342C-4891-A9F8-54E61D96A3F8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Шаблон" sheetId="1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1">
      <go:sheetsCustomData xmlns:go="http://customooxmlschemas.google.com/" r:id="rId8" roundtripDataSignature="AMtx7mg7hcwAk6EsB8bmW5legMEWlBTiOw=="/>
    </ext>
  </extLst>
</workbook>
</file>

<file path=xl/calcChain.xml><?xml version="1.0" encoding="utf-8"?>
<calcChain xmlns="http://schemas.openxmlformats.org/spreadsheetml/2006/main">
  <c r="E37" i="11" l="1"/>
  <c r="F37" i="11"/>
  <c r="G37" i="11"/>
  <c r="M37" i="11" s="1"/>
  <c r="H37" i="11"/>
  <c r="I37" i="11"/>
  <c r="N37" i="11" s="1"/>
  <c r="E38" i="11"/>
  <c r="L38" i="11" s="1"/>
  <c r="F38" i="11"/>
  <c r="G38" i="11"/>
  <c r="M38" i="11" s="1"/>
  <c r="H38" i="11"/>
  <c r="I38" i="11"/>
  <c r="N38" i="11" s="1"/>
  <c r="E39" i="11"/>
  <c r="L39" i="11" s="1"/>
  <c r="F39" i="11"/>
  <c r="G39" i="11"/>
  <c r="M39" i="11" s="1"/>
  <c r="H39" i="11"/>
  <c r="I39" i="11"/>
  <c r="N39" i="11" s="1"/>
  <c r="L37" i="11"/>
  <c r="L10" i="11"/>
  <c r="M10" i="11"/>
  <c r="N10" i="11"/>
  <c r="L11" i="11"/>
  <c r="M11" i="11"/>
  <c r="N11" i="11"/>
  <c r="L12" i="11"/>
  <c r="M12" i="11"/>
  <c r="N12" i="11"/>
  <c r="L13" i="11"/>
  <c r="M13" i="11"/>
  <c r="N13" i="11"/>
  <c r="L14" i="11"/>
  <c r="M14" i="11"/>
  <c r="N14" i="11"/>
  <c r="L15" i="11"/>
  <c r="M15" i="11"/>
  <c r="N15" i="11"/>
  <c r="L16" i="11"/>
  <c r="M16" i="11"/>
  <c r="N16" i="11"/>
  <c r="L17" i="11"/>
  <c r="M17" i="11"/>
  <c r="N17" i="11"/>
  <c r="L18" i="11"/>
  <c r="M18" i="11"/>
  <c r="N18" i="11"/>
  <c r="L19" i="11"/>
  <c r="M19" i="11"/>
  <c r="N19" i="11"/>
  <c r="L20" i="11"/>
  <c r="M20" i="11"/>
  <c r="N20" i="11"/>
  <c r="L21" i="11"/>
  <c r="M21" i="11"/>
  <c r="N21" i="11"/>
  <c r="L22" i="11"/>
  <c r="M22" i="11"/>
  <c r="N22" i="11"/>
  <c r="L23" i="11"/>
  <c r="M23" i="11"/>
  <c r="N23" i="11"/>
  <c r="L24" i="11"/>
  <c r="M24" i="11"/>
  <c r="N24" i="11"/>
  <c r="L25" i="11"/>
  <c r="M25" i="11"/>
  <c r="N25" i="11"/>
  <c r="L26" i="11"/>
  <c r="M26" i="11"/>
  <c r="N26" i="11"/>
  <c r="L27" i="11"/>
  <c r="M27" i="11"/>
  <c r="N27" i="11"/>
  <c r="L28" i="11"/>
  <c r="M28" i="11"/>
  <c r="N28" i="11"/>
  <c r="L29" i="11"/>
  <c r="M29" i="11"/>
  <c r="N29" i="11"/>
  <c r="L30" i="11"/>
  <c r="M30" i="11"/>
  <c r="N30" i="11"/>
  <c r="L31" i="11"/>
  <c r="M31" i="11"/>
  <c r="N31" i="11"/>
  <c r="L32" i="11"/>
  <c r="M32" i="11"/>
  <c r="N32" i="11"/>
  <c r="L33" i="11"/>
  <c r="M33" i="11"/>
  <c r="N33" i="11"/>
  <c r="L34" i="11"/>
  <c r="M34" i="11"/>
  <c r="N34" i="11"/>
  <c r="L35" i="11"/>
  <c r="M35" i="11"/>
  <c r="N35" i="11"/>
  <c r="L36" i="11"/>
  <c r="M36" i="11"/>
  <c r="N36" i="11"/>
  <c r="E36" i="11"/>
  <c r="I36" i="11" s="1"/>
  <c r="E35" i="11"/>
  <c r="E34" i="11"/>
  <c r="I34" i="11" s="1"/>
  <c r="E33" i="11"/>
  <c r="I33" i="11" s="1"/>
  <c r="E32" i="11"/>
  <c r="I32" i="11" s="1"/>
  <c r="E31" i="11"/>
  <c r="H31" i="11" s="1"/>
  <c r="E30" i="11"/>
  <c r="I30" i="11" s="1"/>
  <c r="E29" i="11"/>
  <c r="I29" i="11" s="1"/>
  <c r="E28" i="11"/>
  <c r="I28" i="11" s="1"/>
  <c r="E27" i="11"/>
  <c r="E26" i="11"/>
  <c r="I26" i="11" s="1"/>
  <c r="E25" i="11"/>
  <c r="F24" i="11"/>
  <c r="E24" i="11"/>
  <c r="I24" i="11" s="1"/>
  <c r="E23" i="11"/>
  <c r="I23" i="11" s="1"/>
  <c r="E22" i="11"/>
  <c r="I22" i="11" s="1"/>
  <c r="E21" i="11"/>
  <c r="I21" i="11" s="1"/>
  <c r="E20" i="11"/>
  <c r="I20" i="11" s="1"/>
  <c r="E19" i="11"/>
  <c r="F19" i="11" s="1"/>
  <c r="E18" i="11"/>
  <c r="I18" i="11" s="1"/>
  <c r="E17" i="11"/>
  <c r="H17" i="11" s="1"/>
  <c r="F16" i="11"/>
  <c r="E16" i="11"/>
  <c r="I16" i="11" s="1"/>
  <c r="E15" i="11"/>
  <c r="I15" i="11" s="1"/>
  <c r="E14" i="11"/>
  <c r="I14" i="11" s="1"/>
  <c r="E13" i="11"/>
  <c r="H13" i="11" s="1"/>
  <c r="E12" i="11"/>
  <c r="I12" i="11" s="1"/>
  <c r="E11" i="11"/>
  <c r="I11" i="11" s="1"/>
  <c r="E10" i="11"/>
  <c r="I10" i="11" s="1"/>
  <c r="E9" i="11"/>
  <c r="I9" i="11" s="1"/>
  <c r="N9" i="11" s="1"/>
  <c r="E8" i="11"/>
  <c r="I8" i="11" s="1"/>
  <c r="F18" i="11" l="1"/>
  <c r="G11" i="11"/>
  <c r="F34" i="11"/>
  <c r="F12" i="11"/>
  <c r="F28" i="11"/>
  <c r="F35" i="11"/>
  <c r="G35" i="11"/>
  <c r="F20" i="11"/>
  <c r="F22" i="11"/>
  <c r="F36" i="11"/>
  <c r="F10" i="11"/>
  <c r="F26" i="11"/>
  <c r="G27" i="11"/>
  <c r="F14" i="11"/>
  <c r="F30" i="11"/>
  <c r="G36" i="11"/>
  <c r="H8" i="11"/>
  <c r="G33" i="11"/>
  <c r="L8" i="11"/>
  <c r="F32" i="11"/>
  <c r="N8" i="11"/>
  <c r="F13" i="11"/>
  <c r="F27" i="11"/>
  <c r="G25" i="11"/>
  <c r="H27" i="11"/>
  <c r="I31" i="11"/>
  <c r="L9" i="11"/>
  <c r="F9" i="11"/>
  <c r="F11" i="11"/>
  <c r="F17" i="11"/>
  <c r="F21" i="11"/>
  <c r="F23" i="11"/>
  <c r="F25" i="11"/>
  <c r="F33" i="11"/>
  <c r="G9" i="11"/>
  <c r="M9" i="11" s="1"/>
  <c r="G17" i="11"/>
  <c r="G31" i="11"/>
  <c r="H11" i="11"/>
  <c r="H19" i="11"/>
  <c r="H21" i="11"/>
  <c r="H29" i="11"/>
  <c r="H33" i="11"/>
  <c r="I13" i="11"/>
  <c r="I19" i="11"/>
  <c r="I27" i="11"/>
  <c r="I35" i="11"/>
  <c r="G13" i="11"/>
  <c r="G15" i="11"/>
  <c r="G19" i="11"/>
  <c r="G29" i="11"/>
  <c r="H9" i="11"/>
  <c r="H15" i="11"/>
  <c r="H25" i="11"/>
  <c r="H35" i="11"/>
  <c r="I17" i="11"/>
  <c r="I25" i="11"/>
  <c r="F8" i="11"/>
  <c r="F29" i="11"/>
  <c r="G21" i="11"/>
  <c r="G8" i="11"/>
  <c r="F15" i="11"/>
  <c r="F31" i="11"/>
  <c r="G23" i="11"/>
  <c r="H10" i="11"/>
  <c r="H12" i="11"/>
  <c r="H14" i="11"/>
  <c r="H16" i="11"/>
  <c r="H18" i="11"/>
  <c r="H20" i="11"/>
  <c r="H22" i="11"/>
  <c r="H24" i="11"/>
  <c r="H26" i="11"/>
  <c r="H28" i="11"/>
  <c r="H30" i="11"/>
  <c r="H32" i="11"/>
  <c r="H34" i="11"/>
  <c r="H36" i="11"/>
  <c r="H23" i="11"/>
  <c r="G10" i="11"/>
  <c r="G12" i="11"/>
  <c r="G14" i="11"/>
  <c r="G16" i="11"/>
  <c r="G18" i="11"/>
  <c r="G20" i="11"/>
  <c r="G22" i="11"/>
  <c r="G24" i="11"/>
  <c r="G26" i="11"/>
  <c r="G28" i="11"/>
  <c r="G30" i="11"/>
  <c r="G32" i="11"/>
  <c r="G34" i="11"/>
  <c r="H43" i="11" l="1"/>
  <c r="G42" i="11"/>
  <c r="M40" i="11" s="1"/>
  <c r="M8" i="11"/>
  <c r="I44" i="11"/>
  <c r="N40" i="11" s="1"/>
  <c r="F41" i="11"/>
  <c r="I45" i="11" l="1"/>
  <c r="C42" i="11" s="1"/>
  <c r="K8" i="11" s="1"/>
  <c r="L40" i="11"/>
  <c r="C41" i="11"/>
  <c r="J8" i="11" s="1"/>
</calcChain>
</file>

<file path=xl/sharedStrings.xml><?xml version="1.0" encoding="utf-8"?>
<sst xmlns="http://schemas.openxmlformats.org/spreadsheetml/2006/main" count="24" uniqueCount="24">
  <si>
    <t xml:space="preserve">КГУ «IT лицей» </t>
  </si>
  <si>
    <t xml:space="preserve">Класс </t>
  </si>
  <si>
    <t>Количество учащихся:</t>
  </si>
  <si>
    <t>Педагог</t>
  </si>
  <si>
    <t>Анализ результатов</t>
  </si>
  <si>
    <t>№</t>
  </si>
  <si>
    <t>ФИО</t>
  </si>
  <si>
    <t xml:space="preserve">Макс  балл
</t>
  </si>
  <si>
    <t xml:space="preserve">Общий
балл </t>
  </si>
  <si>
    <t>%</t>
  </si>
  <si>
    <t>"5"</t>
  </si>
  <si>
    <t>"4"</t>
  </si>
  <si>
    <t>"3"</t>
  </si>
  <si>
    <t>"2"</t>
  </si>
  <si>
    <t>Всего "5"</t>
  </si>
  <si>
    <t>Всего "4"</t>
  </si>
  <si>
    <t>Всего "3"</t>
  </si>
  <si>
    <t>Всего "2"</t>
  </si>
  <si>
    <t>Всего учеников</t>
  </si>
  <si>
    <t>%   успев</t>
  </si>
  <si>
    <t>% кач-ва</t>
  </si>
  <si>
    <t>ФИО Высокий    (85-100%)</t>
  </si>
  <si>
    <t>ФИО Средний     (40-84%)</t>
  </si>
  <si>
    <t>ФИО Низкий     (0-39%)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</si>
</sst>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0"/>
      <color rgb="FF000000"/>
      <name val="Arial"/>
    </font>
    <font>
      <sz val="10"/>
      <color theme="1"/>
      <name val="Times New Roman"/>
    </font>
    <font>
      <b/>
      <sz val="10"/>
      <color theme="1"/>
      <name val="Times New Roman"/>
    </font>
    <font>
      <b/>
      <sz val="8"/>
      <color theme="1"/>
      <name val="Times New Roman"/>
    </font>
    <font>
      <sz val="8"/>
      <color theme="1"/>
      <name val="Times New Roman"/>
    </font>
    <font>
      <sz val="9"/>
      <color rgb="FF000000"/>
      <name val="Times New Roman"/>
    </font>
    <font>
      <b/>
      <sz val="12"/>
      <color theme="1"/>
      <name val="Times New Roman"/>
    </font>
    <font>
      <sz val="10"/>
      <name val="Arial"/>
    </font>
    <font>
      <sz val="9"/>
      <color theme="1"/>
      <name val="Times New Roman"/>
    </font>
    <font>
      <b/>
      <sz val="9"/>
      <color theme="1"/>
      <name val="Times New Roman"/>
    </font>
    <font>
      <sz val="10"/>
      <color theme="0"/>
      <name val="Times New Roman"/>
    </font>
    <font>
      <sz val="10"/>
      <color rgb="FF000000"/>
      <name val="Arial"/>
      <family val="2"/>
      <charset val="204"/>
    </font>
    <font>
      <sz val="9"/>
      <color rgb="FF000000"/>
      <name val="Times New Roman"/>
      <family val="1"/>
      <charset val="204"/>
    </font>
    <font>
      <b/>
      <sz val="10"/>
      <color theme="1"/>
      <name val="Times New Roman"/>
      <family val="1"/>
      <charset val="204"/>
    </font>
    <font>
      <b/>
      <sz val="8"/>
      <color theme="1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9"/>
      <color rgb="FF212529"/>
      <name val="Times New Roman"/>
      <family val="1"/>
      <charset val="204"/>
    </font>
    <font>
      <b/>
      <sz val="10"/>
      <color rgb="FF212529"/>
      <name val="Calibri"/>
      <family val="2"/>
      <charset val="204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DEE2E6"/>
      </left>
      <right style="medium">
        <color rgb="FFDEE2E6"/>
      </right>
      <top style="medium">
        <color rgb="FFDEE2E6"/>
      </top>
      <bottom style="medium">
        <color rgb="FFDEE2E6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43">
    <xf numFmtId="0" fontId="0" fillId="0" borderId="0" xfId="0"/>
    <xf numFmtId="0" fontId="1" fillId="0" borderId="0" xfId="0" applyFont="1"/>
    <xf numFmtId="0" fontId="3" fillId="0" borderId="0" xfId="0" applyFont="1"/>
    <xf numFmtId="0" fontId="4" fillId="0" borderId="0" xfId="0" applyFont="1"/>
    <xf numFmtId="0" fontId="3" fillId="0" borderId="2" xfId="0" applyFont="1" applyBorder="1" applyAlignment="1">
      <alignment horizontal="center" vertical="top"/>
    </xf>
    <xf numFmtId="0" fontId="3" fillId="0" borderId="1" xfId="0" applyFont="1" applyBorder="1" applyAlignment="1">
      <alignment horizontal="center" vertical="top" wrapText="1"/>
    </xf>
    <xf numFmtId="0" fontId="3" fillId="0" borderId="1" xfId="0" applyFont="1" applyBorder="1" applyAlignment="1">
      <alignment horizontal="center" vertical="top"/>
    </xf>
    <xf numFmtId="0" fontId="3" fillId="0" borderId="3" xfId="0" applyFont="1" applyBorder="1" applyAlignment="1">
      <alignment horizontal="center" vertical="top" wrapText="1"/>
    </xf>
    <xf numFmtId="0" fontId="1" fillId="0" borderId="4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/>
    </xf>
    <xf numFmtId="0" fontId="8" fillId="0" borderId="0" xfId="0" applyFont="1"/>
    <xf numFmtId="0" fontId="9" fillId="0" borderId="0" xfId="0" applyFont="1"/>
    <xf numFmtId="0" fontId="9" fillId="0" borderId="1" xfId="0" applyFont="1" applyBorder="1" applyAlignment="1">
      <alignment horizontal="center"/>
    </xf>
    <xf numFmtId="0" fontId="10" fillId="0" borderId="0" xfId="0" applyFont="1"/>
    <xf numFmtId="0" fontId="8" fillId="0" borderId="1" xfId="0" applyFont="1" applyBorder="1"/>
    <xf numFmtId="0" fontId="9" fillId="0" borderId="1" xfId="0" applyFont="1" applyBorder="1"/>
    <xf numFmtId="0" fontId="3" fillId="0" borderId="0" xfId="0" applyFont="1" applyAlignment="1">
      <alignment horizontal="left"/>
    </xf>
    <xf numFmtId="0" fontId="0" fillId="0" borderId="0" xfId="0"/>
    <xf numFmtId="0" fontId="0" fillId="0" borderId="0" xfId="0"/>
    <xf numFmtId="0" fontId="14" fillId="0" borderId="0" xfId="0" applyFont="1" applyAlignment="1">
      <alignment horizontal="left"/>
    </xf>
    <xf numFmtId="0" fontId="9" fillId="0" borderId="3" xfId="0" applyFont="1" applyBorder="1" applyAlignment="1">
      <alignment horizontal="left"/>
    </xf>
    <xf numFmtId="0" fontId="7" fillId="0" borderId="4" xfId="0" applyFont="1" applyBorder="1"/>
    <xf numFmtId="0" fontId="7" fillId="0" borderId="8" xfId="0" applyFont="1" applyBorder="1"/>
    <xf numFmtId="0" fontId="2" fillId="0" borderId="0" xfId="0" applyFont="1" applyAlignment="1">
      <alignment horizontal="center"/>
    </xf>
    <xf numFmtId="0" fontId="0" fillId="0" borderId="0" xfId="0"/>
    <xf numFmtId="0" fontId="13" fillId="0" borderId="0" xfId="0" applyFont="1" applyAlignment="1">
      <alignment horizontal="center" vertical="top" wrapText="1"/>
    </xf>
    <xf numFmtId="0" fontId="14" fillId="0" borderId="0" xfId="0" applyFont="1" applyAlignment="1">
      <alignment horizontal="left"/>
    </xf>
    <xf numFmtId="2" fontId="6" fillId="0" borderId="2" xfId="0" applyNumberFormat="1" applyFont="1" applyBorder="1" applyAlignment="1">
      <alignment horizontal="center"/>
    </xf>
    <xf numFmtId="0" fontId="7" fillId="0" borderId="6" xfId="0" applyFont="1" applyBorder="1"/>
    <xf numFmtId="0" fontId="6" fillId="0" borderId="5" xfId="0" applyFont="1" applyBorder="1" applyAlignment="1">
      <alignment horizontal="center"/>
    </xf>
    <xf numFmtId="0" fontId="7" fillId="0" borderId="7" xfId="0" applyFont="1" applyBorder="1"/>
    <xf numFmtId="0" fontId="3" fillId="0" borderId="1" xfId="0" applyFont="1" applyBorder="1" applyAlignment="1">
      <alignment vertical="top"/>
    </xf>
    <xf numFmtId="0" fontId="1" fillId="0" borderId="3" xfId="0" applyFont="1" applyBorder="1"/>
    <xf numFmtId="0" fontId="1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center"/>
    </xf>
    <xf numFmtId="0" fontId="17" fillId="0" borderId="0" xfId="0" applyFont="1"/>
    <xf numFmtId="0" fontId="16" fillId="0" borderId="0" xfId="0" applyFont="1"/>
    <xf numFmtId="0" fontId="1" fillId="0" borderId="1" xfId="0" applyFont="1" applyBorder="1"/>
    <xf numFmtId="0" fontId="17" fillId="2" borderId="9" xfId="0" applyFont="1" applyFill="1" applyBorder="1" applyAlignment="1">
      <alignment horizontal="left" vertical="center"/>
    </xf>
    <xf numFmtId="0" fontId="11" fillId="0" borderId="0" xfId="0" applyFont="1"/>
    <xf numFmtId="0" fontId="5" fillId="0" borderId="1" xfId="0" applyFont="1" applyBorder="1" applyAlignment="1">
      <alignment horizontal="left" vertical="center"/>
    </xf>
    <xf numFmtId="0" fontId="15" fillId="0" borderId="10" xfId="0" applyFont="1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12" Type="http://schemas.openxmlformats.org/officeDocument/2006/relationships/calcChain" Target="calcChain.xml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6E348-6289-483F-9745-360123C103BB}">
  <sheetPr>
    <pageSetUpPr fitToPage="1"/>
  </sheetPr>
  <dimension ref="A1:N1000"/>
  <sheetViews>
    <sheetView tabSelected="1" topLeftCell="A10" zoomScale="80" zoomScaleNormal="80" workbookViewId="0">
      <selection activeCell="B41" sqref="B41"/>
    </sheetView>
  </sheetViews>
  <sheetFormatPr defaultColWidth="14.44140625" defaultRowHeight="15" customHeight="1" x14ac:dyDescent="0.25"/>
  <cols>
    <col min="1" max="1" width="3" style="18" customWidth="1"/>
    <col min="2" max="2" width="20" style="18" customWidth="1"/>
    <col min="3" max="3" width="6" style="18" customWidth="1"/>
    <col min="4" max="4" width="6.33203125" style="18" customWidth="1"/>
    <col min="5" max="5" width="5.6640625" style="18" customWidth="1"/>
    <col min="6" max="9" width="3.109375" style="18" customWidth="1"/>
    <col min="10" max="10" width="7.21875" style="18" customWidth="1"/>
    <col min="11" max="11" width="8.109375" style="18" customWidth="1"/>
    <col min="12" max="12" width="22.44140625" style="18" customWidth="1"/>
    <col min="13" max="13" width="21.5546875" style="18" customWidth="1"/>
    <col min="14" max="14" width="17.33203125" style="18" customWidth="1"/>
    <col min="15" max="26" width="8.6640625" style="18" customWidth="1"/>
    <col min="27" max="16384" width="14.44140625" style="18"/>
  </cols>
  <sheetData>
    <row r="1" spans="1:14" ht="12.75" customHeight="1" x14ac:dyDescent="0.25">
      <c r="A1" s="1"/>
      <c r="B1" s="24" t="s">
        <v>0</v>
      </c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</row>
    <row r="2" spans="1:14" ht="12.75" customHeight="1" x14ac:dyDescent="0.25">
      <c r="A2" s="1"/>
      <c r="B2" s="26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1"/>
    </row>
    <row r="3" spans="1:14" ht="12.75" customHeight="1" x14ac:dyDescent="0.25">
      <c r="A3" s="1"/>
      <c r="B3" s="2" t="s">
        <v>1</v>
      </c>
      <c r="C3" s="20"/>
      <c r="D3" s="3"/>
      <c r="E3" s="3"/>
      <c r="F3" s="1"/>
      <c r="G3" s="1"/>
      <c r="H3" s="1"/>
      <c r="I3" s="1"/>
      <c r="J3" s="1"/>
      <c r="K3" s="1"/>
      <c r="L3" s="1"/>
      <c r="M3" s="1"/>
      <c r="N3" s="1"/>
    </row>
    <row r="4" spans="1:14" ht="12.75" customHeight="1" x14ac:dyDescent="0.25">
      <c r="A4" s="1"/>
      <c r="B4" s="2" t="s">
        <v>2</v>
      </c>
      <c r="C4" s="17"/>
      <c r="D4" s="3"/>
      <c r="E4" s="3"/>
      <c r="F4" s="1"/>
      <c r="G4" s="1"/>
      <c r="H4" s="1"/>
      <c r="I4" s="1"/>
      <c r="J4" s="1"/>
      <c r="K4" s="1"/>
      <c r="L4" s="1"/>
      <c r="M4" s="1"/>
      <c r="N4" s="1"/>
    </row>
    <row r="5" spans="1:14" ht="12.75" customHeight="1" x14ac:dyDescent="0.25">
      <c r="A5" s="1"/>
      <c r="B5" s="2" t="s">
        <v>3</v>
      </c>
      <c r="C5" s="27"/>
      <c r="D5" s="27"/>
      <c r="E5" s="27"/>
      <c r="F5" s="1"/>
      <c r="G5" s="1"/>
      <c r="H5" s="1"/>
      <c r="I5" s="1"/>
      <c r="J5" s="1"/>
      <c r="K5" s="1"/>
      <c r="L5" s="1"/>
      <c r="M5" s="1"/>
      <c r="N5" s="1"/>
    </row>
    <row r="6" spans="1:14" ht="12.75" customHeight="1" x14ac:dyDescent="0.25">
      <c r="A6" s="1"/>
      <c r="B6" s="2" t="s">
        <v>4</v>
      </c>
      <c r="C6" s="17"/>
      <c r="D6" s="3"/>
      <c r="E6" s="3"/>
      <c r="F6" s="1"/>
      <c r="G6" s="1"/>
      <c r="H6" s="1"/>
      <c r="I6" s="1"/>
      <c r="J6" s="1"/>
      <c r="K6" s="1"/>
      <c r="L6" s="1"/>
      <c r="M6" s="1"/>
      <c r="N6" s="1"/>
    </row>
    <row r="7" spans="1:14" ht="12.75" customHeight="1" x14ac:dyDescent="0.25">
      <c r="A7" s="32" t="s">
        <v>5</v>
      </c>
      <c r="B7" s="4" t="s">
        <v>6</v>
      </c>
      <c r="C7" s="5" t="s">
        <v>8</v>
      </c>
      <c r="D7" s="5" t="s">
        <v>7</v>
      </c>
      <c r="E7" s="6" t="s">
        <v>9</v>
      </c>
      <c r="F7" s="6" t="s">
        <v>10</v>
      </c>
      <c r="G7" s="6" t="s">
        <v>11</v>
      </c>
      <c r="H7" s="6" t="s">
        <v>12</v>
      </c>
      <c r="I7" s="6" t="s">
        <v>13</v>
      </c>
      <c r="J7" s="5" t="s">
        <v>20</v>
      </c>
      <c r="K7" s="7" t="s">
        <v>19</v>
      </c>
      <c r="L7" s="5" t="s">
        <v>21</v>
      </c>
      <c r="M7" s="5" t="s">
        <v>22</v>
      </c>
      <c r="N7" s="5" t="s">
        <v>23</v>
      </c>
    </row>
    <row r="8" spans="1:14" ht="12.75" customHeight="1" x14ac:dyDescent="0.25">
      <c r="A8" s="33">
        <v>1</v>
      </c>
      <c r="B8" s="34"/>
      <c r="C8" s="8"/>
      <c r="D8" s="35"/>
      <c r="E8" s="9" t="e">
        <f t="shared" ref="E8:E32" si="0">C8*100/D8</f>
        <v>#DIV/0!</v>
      </c>
      <c r="F8" s="9" t="e">
        <f t="shared" ref="F8:F36" si="1">IF(E8&gt;=84.4,1,0)</f>
        <v>#DIV/0!</v>
      </c>
      <c r="G8" s="9" t="e">
        <f t="shared" ref="G8:G36" si="2">IF(E8&gt;=64.5,1,0)*IF(E8&lt;84.4,1,0)</f>
        <v>#DIV/0!</v>
      </c>
      <c r="H8" s="9" t="e">
        <f t="shared" ref="H8:H36" si="3">IF(E8&gt;=39.5,1,0)*IF(E8&lt;64.5,1,0)</f>
        <v>#DIV/0!</v>
      </c>
      <c r="I8" s="9" t="e">
        <f t="shared" ref="I8:I36" si="4">IF(E8&lt;39.5,1,0)*IF(E8=0,0,1)</f>
        <v>#DIV/0!</v>
      </c>
      <c r="J8" s="28" t="e">
        <f>C41*100</f>
        <v>#DIV/0!</v>
      </c>
      <c r="K8" s="30" t="e">
        <f>C42*100</f>
        <v>#DIV/0!</v>
      </c>
      <c r="L8" s="10" t="e">
        <f t="shared" ref="L8:L37" si="5">IF(E8&gt;=84.5,B8," ")</f>
        <v>#DIV/0!</v>
      </c>
      <c r="M8" s="10" t="e">
        <f t="shared" ref="M8:M37" si="6">IF(G8&gt;0,B8,IF(H8&gt;0,B8," "))</f>
        <v>#DIV/0!</v>
      </c>
      <c r="N8" s="10" t="e">
        <f t="shared" ref="N8:N37" si="7">IF(I8&gt;0,B8," ")</f>
        <v>#DIV/0!</v>
      </c>
    </row>
    <row r="9" spans="1:14" ht="12.75" customHeight="1" x14ac:dyDescent="0.25">
      <c r="A9" s="33">
        <v>2</v>
      </c>
      <c r="B9" s="34"/>
      <c r="C9" s="8"/>
      <c r="D9" s="35"/>
      <c r="E9" s="9" t="e">
        <f t="shared" si="0"/>
        <v>#DIV/0!</v>
      </c>
      <c r="F9" s="9" t="e">
        <f t="shared" si="1"/>
        <v>#DIV/0!</v>
      </c>
      <c r="G9" s="9" t="e">
        <f t="shared" si="2"/>
        <v>#DIV/0!</v>
      </c>
      <c r="H9" s="9" t="e">
        <f t="shared" si="3"/>
        <v>#DIV/0!</v>
      </c>
      <c r="I9" s="9" t="e">
        <f t="shared" si="4"/>
        <v>#DIV/0!</v>
      </c>
      <c r="J9" s="29"/>
      <c r="K9" s="31"/>
      <c r="L9" s="10" t="e">
        <f t="shared" si="5"/>
        <v>#DIV/0!</v>
      </c>
      <c r="M9" s="10" t="e">
        <f t="shared" si="6"/>
        <v>#DIV/0!</v>
      </c>
      <c r="N9" s="10" t="e">
        <f t="shared" si="7"/>
        <v>#DIV/0!</v>
      </c>
    </row>
    <row r="10" spans="1:14" ht="12.75" customHeight="1" x14ac:dyDescent="0.25">
      <c r="A10" s="33">
        <v>3</v>
      </c>
      <c r="B10" s="34"/>
      <c r="C10" s="8"/>
      <c r="D10" s="35"/>
      <c r="E10" s="9" t="e">
        <f t="shared" si="0"/>
        <v>#DIV/0!</v>
      </c>
      <c r="F10" s="9" t="e">
        <f t="shared" si="1"/>
        <v>#DIV/0!</v>
      </c>
      <c r="G10" s="9" t="e">
        <f t="shared" si="2"/>
        <v>#DIV/0!</v>
      </c>
      <c r="H10" s="9" t="e">
        <f t="shared" si="3"/>
        <v>#DIV/0!</v>
      </c>
      <c r="I10" s="9" t="e">
        <f t="shared" si="4"/>
        <v>#DIV/0!</v>
      </c>
      <c r="J10" s="1"/>
      <c r="K10" s="1"/>
      <c r="L10" s="10" t="e">
        <f t="shared" ref="L10:L37" si="8">IF(E10&gt;=84.5,B10," ")</f>
        <v>#DIV/0!</v>
      </c>
      <c r="M10" s="10" t="e">
        <f t="shared" ref="M10:M37" si="9">IF(G10&gt;0,B10,IF(H10&gt;0,B10," "))</f>
        <v>#DIV/0!</v>
      </c>
      <c r="N10" s="10" t="e">
        <f t="shared" ref="N10:N37" si="10">IF(I10&gt;0,B10," ")</f>
        <v>#DIV/0!</v>
      </c>
    </row>
    <row r="11" spans="1:14" ht="12.75" customHeight="1" x14ac:dyDescent="0.3">
      <c r="A11" s="33">
        <v>4</v>
      </c>
      <c r="B11" s="36"/>
      <c r="C11" s="8"/>
      <c r="D11" s="35"/>
      <c r="E11" s="9" t="e">
        <f t="shared" si="0"/>
        <v>#DIV/0!</v>
      </c>
      <c r="F11" s="9" t="e">
        <f t="shared" si="1"/>
        <v>#DIV/0!</v>
      </c>
      <c r="G11" s="9" t="e">
        <f t="shared" si="2"/>
        <v>#DIV/0!</v>
      </c>
      <c r="H11" s="9" t="e">
        <f t="shared" si="3"/>
        <v>#DIV/0!</v>
      </c>
      <c r="I11" s="9" t="e">
        <f t="shared" si="4"/>
        <v>#DIV/0!</v>
      </c>
      <c r="J11" s="1"/>
      <c r="K11" s="1"/>
      <c r="L11" s="10" t="e">
        <f t="shared" si="8"/>
        <v>#DIV/0!</v>
      </c>
      <c r="M11" s="10" t="e">
        <f t="shared" si="9"/>
        <v>#DIV/0!</v>
      </c>
      <c r="N11" s="10" t="e">
        <f t="shared" si="10"/>
        <v>#DIV/0!</v>
      </c>
    </row>
    <row r="12" spans="1:14" ht="12.75" customHeight="1" x14ac:dyDescent="0.25">
      <c r="A12" s="33">
        <v>5</v>
      </c>
      <c r="B12" s="34"/>
      <c r="C12" s="8"/>
      <c r="D12" s="35"/>
      <c r="E12" s="9" t="e">
        <f t="shared" si="0"/>
        <v>#DIV/0!</v>
      </c>
      <c r="F12" s="9" t="e">
        <f t="shared" si="1"/>
        <v>#DIV/0!</v>
      </c>
      <c r="G12" s="9" t="e">
        <f t="shared" si="2"/>
        <v>#DIV/0!</v>
      </c>
      <c r="H12" s="9" t="e">
        <f t="shared" si="3"/>
        <v>#DIV/0!</v>
      </c>
      <c r="I12" s="9" t="e">
        <f t="shared" si="4"/>
        <v>#DIV/0!</v>
      </c>
      <c r="J12" s="1"/>
      <c r="K12" s="1"/>
      <c r="L12" s="10" t="e">
        <f t="shared" si="8"/>
        <v>#DIV/0!</v>
      </c>
      <c r="M12" s="10" t="e">
        <f t="shared" si="9"/>
        <v>#DIV/0!</v>
      </c>
      <c r="N12" s="10" t="e">
        <f t="shared" si="10"/>
        <v>#DIV/0!</v>
      </c>
    </row>
    <row r="13" spans="1:14" ht="12.75" customHeight="1" x14ac:dyDescent="0.25">
      <c r="A13" s="33">
        <v>6</v>
      </c>
      <c r="B13" s="34"/>
      <c r="C13" s="8"/>
      <c r="D13" s="35"/>
      <c r="E13" s="9" t="e">
        <f t="shared" si="0"/>
        <v>#DIV/0!</v>
      </c>
      <c r="F13" s="9" t="e">
        <f t="shared" si="1"/>
        <v>#DIV/0!</v>
      </c>
      <c r="G13" s="9" t="e">
        <f t="shared" si="2"/>
        <v>#DIV/0!</v>
      </c>
      <c r="H13" s="9" t="e">
        <f t="shared" si="3"/>
        <v>#DIV/0!</v>
      </c>
      <c r="I13" s="9" t="e">
        <f t="shared" si="4"/>
        <v>#DIV/0!</v>
      </c>
      <c r="J13" s="1"/>
      <c r="K13" s="1"/>
      <c r="L13" s="10" t="e">
        <f t="shared" si="8"/>
        <v>#DIV/0!</v>
      </c>
      <c r="M13" s="10" t="e">
        <f t="shared" si="9"/>
        <v>#DIV/0!</v>
      </c>
      <c r="N13" s="10" t="e">
        <f t="shared" si="10"/>
        <v>#DIV/0!</v>
      </c>
    </row>
    <row r="14" spans="1:14" ht="12.75" customHeight="1" x14ac:dyDescent="0.25">
      <c r="A14" s="33">
        <v>7</v>
      </c>
      <c r="B14" s="34"/>
      <c r="C14" s="8"/>
      <c r="D14" s="35"/>
      <c r="E14" s="9" t="e">
        <f t="shared" si="0"/>
        <v>#DIV/0!</v>
      </c>
      <c r="F14" s="9" t="e">
        <f t="shared" si="1"/>
        <v>#DIV/0!</v>
      </c>
      <c r="G14" s="9" t="e">
        <f t="shared" si="2"/>
        <v>#DIV/0!</v>
      </c>
      <c r="H14" s="9" t="e">
        <f t="shared" si="3"/>
        <v>#DIV/0!</v>
      </c>
      <c r="I14" s="9" t="e">
        <f t="shared" si="4"/>
        <v>#DIV/0!</v>
      </c>
      <c r="J14" s="1"/>
      <c r="K14" s="1"/>
      <c r="L14" s="10" t="e">
        <f t="shared" si="8"/>
        <v>#DIV/0!</v>
      </c>
      <c r="M14" s="10" t="e">
        <f t="shared" si="9"/>
        <v>#DIV/0!</v>
      </c>
      <c r="N14" s="10" t="e">
        <f t="shared" si="10"/>
        <v>#DIV/0!</v>
      </c>
    </row>
    <row r="15" spans="1:14" ht="12.75" customHeight="1" x14ac:dyDescent="0.25">
      <c r="A15" s="33">
        <v>8</v>
      </c>
      <c r="B15" s="34"/>
      <c r="C15" s="8"/>
      <c r="D15" s="35"/>
      <c r="E15" s="9" t="e">
        <f t="shared" si="0"/>
        <v>#DIV/0!</v>
      </c>
      <c r="F15" s="9" t="e">
        <f t="shared" si="1"/>
        <v>#DIV/0!</v>
      </c>
      <c r="G15" s="9" t="e">
        <f t="shared" si="2"/>
        <v>#DIV/0!</v>
      </c>
      <c r="H15" s="9" t="e">
        <f t="shared" si="3"/>
        <v>#DIV/0!</v>
      </c>
      <c r="I15" s="9" t="e">
        <f t="shared" si="4"/>
        <v>#DIV/0!</v>
      </c>
      <c r="J15" s="1"/>
      <c r="K15" s="1"/>
      <c r="L15" s="10" t="e">
        <f t="shared" si="8"/>
        <v>#DIV/0!</v>
      </c>
      <c r="M15" s="10" t="e">
        <f t="shared" si="9"/>
        <v>#DIV/0!</v>
      </c>
      <c r="N15" s="10" t="e">
        <f t="shared" si="10"/>
        <v>#DIV/0!</v>
      </c>
    </row>
    <row r="16" spans="1:14" ht="12.75" customHeight="1" x14ac:dyDescent="0.3">
      <c r="A16" s="33">
        <v>9</v>
      </c>
      <c r="B16" s="36"/>
      <c r="C16" s="8"/>
      <c r="D16" s="35"/>
      <c r="E16" s="9" t="e">
        <f t="shared" si="0"/>
        <v>#DIV/0!</v>
      </c>
      <c r="F16" s="9" t="e">
        <f t="shared" si="1"/>
        <v>#DIV/0!</v>
      </c>
      <c r="G16" s="9" t="e">
        <f t="shared" si="2"/>
        <v>#DIV/0!</v>
      </c>
      <c r="H16" s="9" t="e">
        <f t="shared" si="3"/>
        <v>#DIV/0!</v>
      </c>
      <c r="I16" s="9" t="e">
        <f t="shared" si="4"/>
        <v>#DIV/0!</v>
      </c>
      <c r="J16" s="1"/>
      <c r="K16" s="1"/>
      <c r="L16" s="10" t="e">
        <f t="shared" si="8"/>
        <v>#DIV/0!</v>
      </c>
      <c r="M16" s="10" t="e">
        <f t="shared" si="9"/>
        <v>#DIV/0!</v>
      </c>
      <c r="N16" s="10" t="e">
        <f t="shared" si="10"/>
        <v>#DIV/0!</v>
      </c>
    </row>
    <row r="17" spans="1:14" ht="12.75" customHeight="1" x14ac:dyDescent="0.3">
      <c r="A17" s="33">
        <v>10</v>
      </c>
      <c r="B17" s="36"/>
      <c r="C17" s="8"/>
      <c r="D17" s="35"/>
      <c r="E17" s="9" t="e">
        <f t="shared" si="0"/>
        <v>#DIV/0!</v>
      </c>
      <c r="F17" s="9" t="e">
        <f t="shared" si="1"/>
        <v>#DIV/0!</v>
      </c>
      <c r="G17" s="9" t="e">
        <f t="shared" si="2"/>
        <v>#DIV/0!</v>
      </c>
      <c r="H17" s="9" t="e">
        <f t="shared" si="3"/>
        <v>#DIV/0!</v>
      </c>
      <c r="I17" s="9" t="e">
        <f t="shared" si="4"/>
        <v>#DIV/0!</v>
      </c>
      <c r="J17" s="1"/>
      <c r="K17" s="1"/>
      <c r="L17" s="10" t="e">
        <f t="shared" si="8"/>
        <v>#DIV/0!</v>
      </c>
      <c r="M17" s="10" t="e">
        <f t="shared" si="9"/>
        <v>#DIV/0!</v>
      </c>
      <c r="N17" s="10" t="e">
        <f t="shared" si="10"/>
        <v>#DIV/0!</v>
      </c>
    </row>
    <row r="18" spans="1:14" ht="12.75" customHeight="1" x14ac:dyDescent="0.3">
      <c r="A18" s="33">
        <v>11</v>
      </c>
      <c r="B18" s="36"/>
      <c r="C18" s="8"/>
      <c r="D18" s="35"/>
      <c r="E18" s="9" t="e">
        <f t="shared" si="0"/>
        <v>#DIV/0!</v>
      </c>
      <c r="F18" s="9" t="e">
        <f t="shared" si="1"/>
        <v>#DIV/0!</v>
      </c>
      <c r="G18" s="9" t="e">
        <f t="shared" si="2"/>
        <v>#DIV/0!</v>
      </c>
      <c r="H18" s="9" t="e">
        <f t="shared" si="3"/>
        <v>#DIV/0!</v>
      </c>
      <c r="I18" s="9" t="e">
        <f t="shared" si="4"/>
        <v>#DIV/0!</v>
      </c>
      <c r="J18" s="1"/>
      <c r="K18" s="1"/>
      <c r="L18" s="10" t="e">
        <f t="shared" si="8"/>
        <v>#DIV/0!</v>
      </c>
      <c r="M18" s="10" t="e">
        <f t="shared" si="9"/>
        <v>#DIV/0!</v>
      </c>
      <c r="N18" s="10" t="e">
        <f t="shared" si="10"/>
        <v>#DIV/0!</v>
      </c>
    </row>
    <row r="19" spans="1:14" ht="12.75" customHeight="1" x14ac:dyDescent="0.25">
      <c r="A19" s="33">
        <v>12</v>
      </c>
      <c r="B19" s="34"/>
      <c r="C19" s="8"/>
      <c r="D19" s="35"/>
      <c r="E19" s="9" t="e">
        <f t="shared" si="0"/>
        <v>#DIV/0!</v>
      </c>
      <c r="F19" s="9" t="e">
        <f t="shared" si="1"/>
        <v>#DIV/0!</v>
      </c>
      <c r="G19" s="9" t="e">
        <f t="shared" si="2"/>
        <v>#DIV/0!</v>
      </c>
      <c r="H19" s="9" t="e">
        <f t="shared" si="3"/>
        <v>#DIV/0!</v>
      </c>
      <c r="I19" s="9" t="e">
        <f t="shared" si="4"/>
        <v>#DIV/0!</v>
      </c>
      <c r="J19" s="1"/>
      <c r="K19" s="1"/>
      <c r="L19" s="10" t="e">
        <f t="shared" si="8"/>
        <v>#DIV/0!</v>
      </c>
      <c r="M19" s="10" t="e">
        <f t="shared" si="9"/>
        <v>#DIV/0!</v>
      </c>
      <c r="N19" s="10" t="e">
        <f t="shared" si="10"/>
        <v>#DIV/0!</v>
      </c>
    </row>
    <row r="20" spans="1:14" ht="12.75" customHeight="1" x14ac:dyDescent="0.25">
      <c r="A20" s="33">
        <v>13</v>
      </c>
      <c r="B20" s="37"/>
      <c r="C20" s="8"/>
      <c r="D20" s="35"/>
      <c r="E20" s="9" t="e">
        <f t="shared" si="0"/>
        <v>#DIV/0!</v>
      </c>
      <c r="F20" s="9" t="e">
        <f t="shared" si="1"/>
        <v>#DIV/0!</v>
      </c>
      <c r="G20" s="9" t="e">
        <f t="shared" si="2"/>
        <v>#DIV/0!</v>
      </c>
      <c r="H20" s="9" t="e">
        <f t="shared" si="3"/>
        <v>#DIV/0!</v>
      </c>
      <c r="I20" s="9" t="e">
        <f t="shared" si="4"/>
        <v>#DIV/0!</v>
      </c>
      <c r="J20" s="1"/>
      <c r="K20" s="1"/>
      <c r="L20" s="10" t="e">
        <f t="shared" si="8"/>
        <v>#DIV/0!</v>
      </c>
      <c r="M20" s="10" t="e">
        <f t="shared" si="9"/>
        <v>#DIV/0!</v>
      </c>
      <c r="N20" s="10" t="e">
        <f t="shared" si="10"/>
        <v>#DIV/0!</v>
      </c>
    </row>
    <row r="21" spans="1:14" ht="12.75" customHeight="1" x14ac:dyDescent="0.3">
      <c r="A21" s="33">
        <v>14</v>
      </c>
      <c r="B21" s="36"/>
      <c r="C21" s="8"/>
      <c r="D21" s="35"/>
      <c r="E21" s="9" t="e">
        <f t="shared" si="0"/>
        <v>#DIV/0!</v>
      </c>
      <c r="F21" s="9" t="e">
        <f t="shared" si="1"/>
        <v>#DIV/0!</v>
      </c>
      <c r="G21" s="9" t="e">
        <f t="shared" si="2"/>
        <v>#DIV/0!</v>
      </c>
      <c r="H21" s="9" t="e">
        <f t="shared" si="3"/>
        <v>#DIV/0!</v>
      </c>
      <c r="I21" s="9" t="e">
        <f t="shared" si="4"/>
        <v>#DIV/0!</v>
      </c>
      <c r="J21" s="1"/>
      <c r="K21" s="1"/>
      <c r="L21" s="10" t="e">
        <f t="shared" si="8"/>
        <v>#DIV/0!</v>
      </c>
      <c r="M21" s="10" t="e">
        <f t="shared" si="9"/>
        <v>#DIV/0!</v>
      </c>
      <c r="N21" s="10" t="e">
        <f t="shared" si="10"/>
        <v>#DIV/0!</v>
      </c>
    </row>
    <row r="22" spans="1:14" ht="12.75" customHeight="1" x14ac:dyDescent="0.25">
      <c r="A22" s="33">
        <v>15</v>
      </c>
      <c r="B22" s="34"/>
      <c r="C22" s="8"/>
      <c r="D22" s="35"/>
      <c r="E22" s="9" t="e">
        <f t="shared" si="0"/>
        <v>#DIV/0!</v>
      </c>
      <c r="F22" s="9" t="e">
        <f t="shared" si="1"/>
        <v>#DIV/0!</v>
      </c>
      <c r="G22" s="9" t="e">
        <f t="shared" si="2"/>
        <v>#DIV/0!</v>
      </c>
      <c r="H22" s="9" t="e">
        <f t="shared" si="3"/>
        <v>#DIV/0!</v>
      </c>
      <c r="I22" s="9" t="e">
        <f t="shared" si="4"/>
        <v>#DIV/0!</v>
      </c>
      <c r="J22" s="1"/>
      <c r="K22" s="1"/>
      <c r="L22" s="10" t="e">
        <f t="shared" si="8"/>
        <v>#DIV/0!</v>
      </c>
      <c r="M22" s="10" t="e">
        <f t="shared" si="9"/>
        <v>#DIV/0!</v>
      </c>
      <c r="N22" s="10" t="e">
        <f t="shared" si="10"/>
        <v>#DIV/0!</v>
      </c>
    </row>
    <row r="23" spans="1:14" ht="12.75" customHeight="1" x14ac:dyDescent="0.25">
      <c r="A23" s="33">
        <v>16</v>
      </c>
      <c r="B23" s="34"/>
      <c r="C23" s="8"/>
      <c r="D23" s="35"/>
      <c r="E23" s="9" t="e">
        <f t="shared" si="0"/>
        <v>#DIV/0!</v>
      </c>
      <c r="F23" s="9" t="e">
        <f t="shared" si="1"/>
        <v>#DIV/0!</v>
      </c>
      <c r="G23" s="9" t="e">
        <f t="shared" si="2"/>
        <v>#DIV/0!</v>
      </c>
      <c r="H23" s="9" t="e">
        <f t="shared" si="3"/>
        <v>#DIV/0!</v>
      </c>
      <c r="I23" s="9" t="e">
        <f t="shared" si="4"/>
        <v>#DIV/0!</v>
      </c>
      <c r="J23" s="1"/>
      <c r="K23" s="1"/>
      <c r="L23" s="10" t="e">
        <f t="shared" si="8"/>
        <v>#DIV/0!</v>
      </c>
      <c r="M23" s="10" t="e">
        <f t="shared" si="9"/>
        <v>#DIV/0!</v>
      </c>
      <c r="N23" s="10" t="e">
        <f t="shared" si="10"/>
        <v>#DIV/0!</v>
      </c>
    </row>
    <row r="24" spans="1:14" ht="12.75" customHeight="1" x14ac:dyDescent="0.25">
      <c r="A24" s="33">
        <v>17</v>
      </c>
      <c r="B24" s="34"/>
      <c r="C24" s="8"/>
      <c r="D24" s="35"/>
      <c r="E24" s="9" t="e">
        <f t="shared" si="0"/>
        <v>#DIV/0!</v>
      </c>
      <c r="F24" s="9" t="e">
        <f t="shared" si="1"/>
        <v>#DIV/0!</v>
      </c>
      <c r="G24" s="9" t="e">
        <f t="shared" si="2"/>
        <v>#DIV/0!</v>
      </c>
      <c r="H24" s="9" t="e">
        <f t="shared" si="3"/>
        <v>#DIV/0!</v>
      </c>
      <c r="I24" s="9" t="e">
        <f t="shared" si="4"/>
        <v>#DIV/0!</v>
      </c>
      <c r="J24" s="1"/>
      <c r="K24" s="1"/>
      <c r="L24" s="10" t="e">
        <f t="shared" si="8"/>
        <v>#DIV/0!</v>
      </c>
      <c r="M24" s="10" t="e">
        <f t="shared" si="9"/>
        <v>#DIV/0!</v>
      </c>
      <c r="N24" s="10" t="e">
        <f t="shared" si="10"/>
        <v>#DIV/0!</v>
      </c>
    </row>
    <row r="25" spans="1:14" ht="12.75" customHeight="1" x14ac:dyDescent="0.25">
      <c r="A25" s="33">
        <v>18</v>
      </c>
      <c r="B25" s="34"/>
      <c r="C25" s="8"/>
      <c r="D25" s="35"/>
      <c r="E25" s="9" t="e">
        <f t="shared" si="0"/>
        <v>#DIV/0!</v>
      </c>
      <c r="F25" s="9" t="e">
        <f t="shared" si="1"/>
        <v>#DIV/0!</v>
      </c>
      <c r="G25" s="9" t="e">
        <f t="shared" si="2"/>
        <v>#DIV/0!</v>
      </c>
      <c r="H25" s="9" t="e">
        <f t="shared" si="3"/>
        <v>#DIV/0!</v>
      </c>
      <c r="I25" s="9" t="e">
        <f t="shared" si="4"/>
        <v>#DIV/0!</v>
      </c>
      <c r="J25" s="1"/>
      <c r="K25" s="1"/>
      <c r="L25" s="10" t="e">
        <f t="shared" si="8"/>
        <v>#DIV/0!</v>
      </c>
      <c r="M25" s="10" t="e">
        <f t="shared" si="9"/>
        <v>#DIV/0!</v>
      </c>
      <c r="N25" s="10" t="e">
        <f t="shared" si="10"/>
        <v>#DIV/0!</v>
      </c>
    </row>
    <row r="26" spans="1:14" ht="12.75" customHeight="1" x14ac:dyDescent="0.25">
      <c r="A26" s="33">
        <v>19</v>
      </c>
      <c r="B26" s="34"/>
      <c r="C26" s="8"/>
      <c r="D26" s="35"/>
      <c r="E26" s="9" t="e">
        <f t="shared" si="0"/>
        <v>#DIV/0!</v>
      </c>
      <c r="F26" s="9" t="e">
        <f t="shared" si="1"/>
        <v>#DIV/0!</v>
      </c>
      <c r="G26" s="9" t="e">
        <f t="shared" si="2"/>
        <v>#DIV/0!</v>
      </c>
      <c r="H26" s="9" t="e">
        <f t="shared" si="3"/>
        <v>#DIV/0!</v>
      </c>
      <c r="I26" s="9" t="e">
        <f t="shared" si="4"/>
        <v>#DIV/0!</v>
      </c>
      <c r="J26" s="1"/>
      <c r="K26" s="1"/>
      <c r="L26" s="10" t="e">
        <f t="shared" si="8"/>
        <v>#DIV/0!</v>
      </c>
      <c r="M26" s="10" t="e">
        <f t="shared" si="9"/>
        <v>#DIV/0!</v>
      </c>
      <c r="N26" s="10" t="e">
        <f t="shared" si="10"/>
        <v>#DIV/0!</v>
      </c>
    </row>
    <row r="27" spans="1:14" ht="12.75" customHeight="1" x14ac:dyDescent="0.25">
      <c r="A27" s="33">
        <v>20</v>
      </c>
      <c r="B27" s="34"/>
      <c r="C27" s="8"/>
      <c r="D27" s="35"/>
      <c r="E27" s="9" t="e">
        <f t="shared" si="0"/>
        <v>#DIV/0!</v>
      </c>
      <c r="F27" s="9" t="e">
        <f t="shared" si="1"/>
        <v>#DIV/0!</v>
      </c>
      <c r="G27" s="9" t="e">
        <f t="shared" si="2"/>
        <v>#DIV/0!</v>
      </c>
      <c r="H27" s="9" t="e">
        <f t="shared" si="3"/>
        <v>#DIV/0!</v>
      </c>
      <c r="I27" s="9" t="e">
        <f t="shared" si="4"/>
        <v>#DIV/0!</v>
      </c>
      <c r="J27" s="1"/>
      <c r="K27" s="1"/>
      <c r="L27" s="10" t="e">
        <f t="shared" si="8"/>
        <v>#DIV/0!</v>
      </c>
      <c r="M27" s="10" t="e">
        <f t="shared" si="9"/>
        <v>#DIV/0!</v>
      </c>
      <c r="N27" s="10" t="e">
        <f t="shared" si="10"/>
        <v>#DIV/0!</v>
      </c>
    </row>
    <row r="28" spans="1:14" ht="12.75" customHeight="1" x14ac:dyDescent="0.25">
      <c r="A28" s="33">
        <v>21</v>
      </c>
      <c r="B28" s="34"/>
      <c r="C28" s="8"/>
      <c r="D28" s="35"/>
      <c r="E28" s="9" t="e">
        <f t="shared" si="0"/>
        <v>#DIV/0!</v>
      </c>
      <c r="F28" s="9" t="e">
        <f t="shared" si="1"/>
        <v>#DIV/0!</v>
      </c>
      <c r="G28" s="9" t="e">
        <f t="shared" si="2"/>
        <v>#DIV/0!</v>
      </c>
      <c r="H28" s="9" t="e">
        <f t="shared" si="3"/>
        <v>#DIV/0!</v>
      </c>
      <c r="I28" s="9" t="e">
        <f t="shared" si="4"/>
        <v>#DIV/0!</v>
      </c>
      <c r="J28" s="1"/>
      <c r="K28" s="1"/>
      <c r="L28" s="10" t="e">
        <f t="shared" si="8"/>
        <v>#DIV/0!</v>
      </c>
      <c r="M28" s="10" t="e">
        <f t="shared" si="9"/>
        <v>#DIV/0!</v>
      </c>
      <c r="N28" s="10" t="e">
        <f t="shared" si="10"/>
        <v>#DIV/0!</v>
      </c>
    </row>
    <row r="29" spans="1:14" ht="12.75" customHeight="1" x14ac:dyDescent="0.25">
      <c r="A29" s="33">
        <v>22</v>
      </c>
      <c r="B29" s="34"/>
      <c r="C29" s="8"/>
      <c r="D29" s="35"/>
      <c r="E29" s="9" t="e">
        <f t="shared" si="0"/>
        <v>#DIV/0!</v>
      </c>
      <c r="F29" s="9" t="e">
        <f t="shared" si="1"/>
        <v>#DIV/0!</v>
      </c>
      <c r="G29" s="9" t="e">
        <f t="shared" si="2"/>
        <v>#DIV/0!</v>
      </c>
      <c r="H29" s="9" t="e">
        <f t="shared" si="3"/>
        <v>#DIV/0!</v>
      </c>
      <c r="I29" s="9" t="e">
        <f t="shared" si="4"/>
        <v>#DIV/0!</v>
      </c>
      <c r="J29" s="1"/>
      <c r="K29" s="1"/>
      <c r="L29" s="10" t="e">
        <f t="shared" si="8"/>
        <v>#DIV/0!</v>
      </c>
      <c r="M29" s="10" t="e">
        <f t="shared" si="9"/>
        <v>#DIV/0!</v>
      </c>
      <c r="N29" s="10" t="e">
        <f t="shared" si="10"/>
        <v>#DIV/0!</v>
      </c>
    </row>
    <row r="30" spans="1:14" ht="12.75" customHeight="1" x14ac:dyDescent="0.25">
      <c r="A30" s="38">
        <v>23</v>
      </c>
      <c r="B30" s="34"/>
      <c r="C30" s="8"/>
      <c r="D30" s="35"/>
      <c r="E30" s="9" t="e">
        <f t="shared" si="0"/>
        <v>#DIV/0!</v>
      </c>
      <c r="F30" s="9" t="e">
        <f t="shared" si="1"/>
        <v>#DIV/0!</v>
      </c>
      <c r="G30" s="9" t="e">
        <f t="shared" si="2"/>
        <v>#DIV/0!</v>
      </c>
      <c r="H30" s="9" t="e">
        <f t="shared" si="3"/>
        <v>#DIV/0!</v>
      </c>
      <c r="I30" s="9" t="e">
        <f t="shared" si="4"/>
        <v>#DIV/0!</v>
      </c>
      <c r="J30" s="1"/>
      <c r="K30" s="1"/>
      <c r="L30" s="10" t="e">
        <f t="shared" si="8"/>
        <v>#DIV/0!</v>
      </c>
      <c r="M30" s="10" t="e">
        <f t="shared" si="9"/>
        <v>#DIV/0!</v>
      </c>
      <c r="N30" s="10" t="e">
        <f t="shared" si="10"/>
        <v>#DIV/0!</v>
      </c>
    </row>
    <row r="31" spans="1:14" ht="12.75" customHeight="1" thickBot="1" x14ac:dyDescent="0.3">
      <c r="A31" s="38">
        <v>24</v>
      </c>
      <c r="B31" s="34"/>
      <c r="C31" s="9"/>
      <c r="D31" s="35"/>
      <c r="E31" s="9" t="e">
        <f t="shared" si="0"/>
        <v>#DIV/0!</v>
      </c>
      <c r="F31" s="9" t="e">
        <f t="shared" si="1"/>
        <v>#DIV/0!</v>
      </c>
      <c r="G31" s="9" t="e">
        <f t="shared" si="2"/>
        <v>#DIV/0!</v>
      </c>
      <c r="H31" s="9" t="e">
        <f t="shared" si="3"/>
        <v>#DIV/0!</v>
      </c>
      <c r="I31" s="9" t="e">
        <f t="shared" si="4"/>
        <v>#DIV/0!</v>
      </c>
      <c r="J31" s="1"/>
      <c r="K31" s="1"/>
      <c r="L31" s="10" t="e">
        <f t="shared" si="8"/>
        <v>#DIV/0!</v>
      </c>
      <c r="M31" s="10" t="e">
        <f t="shared" si="9"/>
        <v>#DIV/0!</v>
      </c>
      <c r="N31" s="10" t="e">
        <f t="shared" si="10"/>
        <v>#DIV/0!</v>
      </c>
    </row>
    <row r="32" spans="1:14" ht="12.75" customHeight="1" thickBot="1" x14ac:dyDescent="0.3">
      <c r="A32" s="33">
        <v>25</v>
      </c>
      <c r="B32" s="39"/>
      <c r="C32" s="9"/>
      <c r="D32" s="35"/>
      <c r="E32" s="9" t="e">
        <f t="shared" si="0"/>
        <v>#DIV/0!</v>
      </c>
      <c r="F32" s="9" t="e">
        <f t="shared" si="1"/>
        <v>#DIV/0!</v>
      </c>
      <c r="G32" s="9" t="e">
        <f t="shared" si="2"/>
        <v>#DIV/0!</v>
      </c>
      <c r="H32" s="9" t="e">
        <f t="shared" si="3"/>
        <v>#DIV/0!</v>
      </c>
      <c r="I32" s="9" t="e">
        <f t="shared" si="4"/>
        <v>#DIV/0!</v>
      </c>
      <c r="J32" s="1"/>
      <c r="K32" s="1"/>
      <c r="L32" s="10" t="e">
        <f t="shared" si="8"/>
        <v>#DIV/0!</v>
      </c>
      <c r="M32" s="10" t="e">
        <f t="shared" si="9"/>
        <v>#DIV/0!</v>
      </c>
      <c r="N32" s="10" t="e">
        <f t="shared" si="10"/>
        <v>#DIV/0!</v>
      </c>
    </row>
    <row r="33" spans="1:14" ht="12.75" customHeight="1" x14ac:dyDescent="0.25">
      <c r="A33" s="33">
        <v>26</v>
      </c>
      <c r="B33" s="34"/>
      <c r="C33" s="9"/>
      <c r="D33" s="35"/>
      <c r="E33" s="9" t="e">
        <f>C33*100/D33</f>
        <v>#DIV/0!</v>
      </c>
      <c r="F33" s="9" t="e">
        <f t="shared" si="1"/>
        <v>#DIV/0!</v>
      </c>
      <c r="G33" s="9" t="e">
        <f t="shared" si="2"/>
        <v>#DIV/0!</v>
      </c>
      <c r="H33" s="9" t="e">
        <f t="shared" si="3"/>
        <v>#DIV/0!</v>
      </c>
      <c r="I33" s="9" t="e">
        <f t="shared" si="4"/>
        <v>#DIV/0!</v>
      </c>
      <c r="J33" s="1"/>
      <c r="K33" s="1"/>
      <c r="L33" s="10" t="e">
        <f t="shared" si="8"/>
        <v>#DIV/0!</v>
      </c>
      <c r="M33" s="10" t="e">
        <f t="shared" si="9"/>
        <v>#DIV/0!</v>
      </c>
      <c r="N33" s="10" t="e">
        <f t="shared" si="10"/>
        <v>#DIV/0!</v>
      </c>
    </row>
    <row r="34" spans="1:14" ht="12.75" customHeight="1" x14ac:dyDescent="0.25">
      <c r="A34" s="33">
        <v>27</v>
      </c>
      <c r="B34" s="40"/>
      <c r="C34" s="9"/>
      <c r="D34" s="35"/>
      <c r="E34" s="9" t="e">
        <f>C34*100/D34</f>
        <v>#DIV/0!</v>
      </c>
      <c r="F34" s="9" t="e">
        <f t="shared" si="1"/>
        <v>#DIV/0!</v>
      </c>
      <c r="G34" s="9" t="e">
        <f t="shared" si="2"/>
        <v>#DIV/0!</v>
      </c>
      <c r="H34" s="9" t="e">
        <f t="shared" si="3"/>
        <v>#DIV/0!</v>
      </c>
      <c r="I34" s="9" t="e">
        <f t="shared" si="4"/>
        <v>#DIV/0!</v>
      </c>
      <c r="J34" s="11"/>
      <c r="K34" s="11"/>
      <c r="L34" s="10" t="e">
        <f t="shared" si="8"/>
        <v>#DIV/0!</v>
      </c>
      <c r="M34" s="10" t="e">
        <f t="shared" si="9"/>
        <v>#DIV/0!</v>
      </c>
      <c r="N34" s="10" t="e">
        <f t="shared" si="10"/>
        <v>#DIV/0!</v>
      </c>
    </row>
    <row r="35" spans="1:14" ht="12.75" customHeight="1" x14ac:dyDescent="0.25">
      <c r="A35" s="33">
        <v>28</v>
      </c>
      <c r="B35" s="41"/>
      <c r="C35" s="8"/>
      <c r="D35" s="35"/>
      <c r="E35" s="9" t="e">
        <f t="shared" ref="E35:E36" si="11">C35*100/D35</f>
        <v>#DIV/0!</v>
      </c>
      <c r="F35" s="9" t="e">
        <f t="shared" si="1"/>
        <v>#DIV/0!</v>
      </c>
      <c r="G35" s="9" t="e">
        <f t="shared" si="2"/>
        <v>#DIV/0!</v>
      </c>
      <c r="H35" s="9" t="e">
        <f t="shared" si="3"/>
        <v>#DIV/0!</v>
      </c>
      <c r="I35" s="9" t="e">
        <f t="shared" si="4"/>
        <v>#DIV/0!</v>
      </c>
      <c r="J35" s="11"/>
      <c r="K35" s="11"/>
      <c r="L35" s="10" t="e">
        <f t="shared" si="8"/>
        <v>#DIV/0!</v>
      </c>
      <c r="M35" s="10" t="e">
        <f t="shared" si="9"/>
        <v>#DIV/0!</v>
      </c>
      <c r="N35" s="10" t="e">
        <f t="shared" si="10"/>
        <v>#DIV/0!</v>
      </c>
    </row>
    <row r="36" spans="1:14" ht="12.75" customHeight="1" x14ac:dyDescent="0.25">
      <c r="A36" s="33">
        <v>29</v>
      </c>
      <c r="B36" s="41"/>
      <c r="C36" s="42"/>
      <c r="D36" s="35"/>
      <c r="E36" s="9" t="e">
        <f t="shared" si="11"/>
        <v>#DIV/0!</v>
      </c>
      <c r="F36" s="9" t="e">
        <f t="shared" si="1"/>
        <v>#DIV/0!</v>
      </c>
      <c r="G36" s="9" t="e">
        <f t="shared" si="2"/>
        <v>#DIV/0!</v>
      </c>
      <c r="H36" s="9" t="e">
        <f t="shared" si="3"/>
        <v>#DIV/0!</v>
      </c>
      <c r="I36" s="9" t="e">
        <f t="shared" si="4"/>
        <v>#DIV/0!</v>
      </c>
      <c r="J36" s="11"/>
      <c r="K36" s="11"/>
      <c r="L36" s="10" t="e">
        <f t="shared" si="8"/>
        <v>#DIV/0!</v>
      </c>
      <c r="M36" s="10" t="e">
        <f t="shared" si="9"/>
        <v>#DIV/0!</v>
      </c>
      <c r="N36" s="10" t="e">
        <f t="shared" si="10"/>
        <v>#DIV/0!</v>
      </c>
    </row>
    <row r="37" spans="1:14" ht="12.75" customHeight="1" x14ac:dyDescent="0.25">
      <c r="A37" s="33">
        <v>30</v>
      </c>
      <c r="B37" s="19"/>
      <c r="C37" s="9"/>
      <c r="D37" s="35"/>
      <c r="E37" s="9" t="e">
        <f>C37*100/D37</f>
        <v>#DIV/0!</v>
      </c>
      <c r="F37" s="9" t="e">
        <f t="shared" ref="F37:F39" si="12">IF(E37&gt;=84.4,1,0)</f>
        <v>#DIV/0!</v>
      </c>
      <c r="G37" s="9" t="e">
        <f t="shared" ref="G37:G39" si="13">IF(E37&gt;=64.5,1,0)*IF(E37&lt;84.4,1,0)</f>
        <v>#DIV/0!</v>
      </c>
      <c r="H37" s="9" t="e">
        <f t="shared" ref="H37:H39" si="14">IF(E37&gt;=39.5,1,0)*IF(E37&lt;64.5,1,0)</f>
        <v>#DIV/0!</v>
      </c>
      <c r="I37" s="9" t="e">
        <f t="shared" ref="I37:I39" si="15">IF(E37&lt;39.5,1,0)*IF(E37=0,0,1)</f>
        <v>#DIV/0!</v>
      </c>
      <c r="J37" s="11"/>
      <c r="K37" s="11"/>
      <c r="L37" s="10" t="e">
        <f t="shared" ref="L37:L39" si="16">IF(E37&gt;=84.5,B37," ")</f>
        <v>#DIV/0!</v>
      </c>
      <c r="M37" s="10" t="e">
        <f t="shared" ref="M37:M39" si="17">IF(G37&gt;0,B37,IF(H37&gt;0,B37," "))</f>
        <v>#DIV/0!</v>
      </c>
      <c r="N37" s="10" t="e">
        <f t="shared" ref="N37:N39" si="18">IF(I37&gt;0,B37," ")</f>
        <v>#DIV/0!</v>
      </c>
    </row>
    <row r="38" spans="1:14" ht="12.75" customHeight="1" x14ac:dyDescent="0.25">
      <c r="A38" s="33">
        <v>31</v>
      </c>
      <c r="B38" s="19"/>
      <c r="C38" s="9"/>
      <c r="D38" s="35"/>
      <c r="E38" s="9" t="e">
        <f>C38*100/D38</f>
        <v>#DIV/0!</v>
      </c>
      <c r="F38" s="9" t="e">
        <f t="shared" si="12"/>
        <v>#DIV/0!</v>
      </c>
      <c r="G38" s="9" t="e">
        <f t="shared" si="13"/>
        <v>#DIV/0!</v>
      </c>
      <c r="H38" s="9" t="e">
        <f t="shared" si="14"/>
        <v>#DIV/0!</v>
      </c>
      <c r="I38" s="9" t="e">
        <f t="shared" si="15"/>
        <v>#DIV/0!</v>
      </c>
      <c r="J38" s="12"/>
      <c r="K38" s="12"/>
      <c r="L38" s="10" t="e">
        <f t="shared" si="16"/>
        <v>#DIV/0!</v>
      </c>
      <c r="M38" s="10" t="e">
        <f t="shared" si="17"/>
        <v>#DIV/0!</v>
      </c>
      <c r="N38" s="10" t="e">
        <f t="shared" si="18"/>
        <v>#DIV/0!</v>
      </c>
    </row>
    <row r="39" spans="1:14" ht="12.75" customHeight="1" x14ac:dyDescent="0.25">
      <c r="A39" s="38">
        <v>32</v>
      </c>
      <c r="B39" s="41"/>
      <c r="C39" s="9"/>
      <c r="D39" s="35"/>
      <c r="E39" s="9" t="e">
        <f t="shared" ref="E39" si="19">C39*100/D39</f>
        <v>#DIV/0!</v>
      </c>
      <c r="F39" s="9" t="e">
        <f t="shared" si="12"/>
        <v>#DIV/0!</v>
      </c>
      <c r="G39" s="9" t="e">
        <f t="shared" si="13"/>
        <v>#DIV/0!</v>
      </c>
      <c r="H39" s="9" t="e">
        <f t="shared" si="14"/>
        <v>#DIV/0!</v>
      </c>
      <c r="I39" s="9" t="e">
        <f t="shared" si="15"/>
        <v>#DIV/0!</v>
      </c>
      <c r="J39" s="1"/>
      <c r="K39" s="1"/>
      <c r="L39" s="10" t="e">
        <f t="shared" si="16"/>
        <v>#DIV/0!</v>
      </c>
      <c r="M39" s="10" t="e">
        <f t="shared" si="17"/>
        <v>#DIV/0!</v>
      </c>
      <c r="N39" s="10" t="e">
        <f t="shared" si="18"/>
        <v>#DIV/0!</v>
      </c>
    </row>
    <row r="40" spans="1:14" ht="12.75" customHeight="1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3" t="e">
        <f>F41</f>
        <v>#DIV/0!</v>
      </c>
      <c r="M40" s="13" t="e">
        <f>G42+H43</f>
        <v>#DIV/0!</v>
      </c>
      <c r="N40" s="13" t="e">
        <f>I44</f>
        <v>#DIV/0!</v>
      </c>
    </row>
    <row r="41" spans="1:14" ht="12.75" customHeight="1" x14ac:dyDescent="0.25">
      <c r="A41" s="1"/>
      <c r="B41" s="1"/>
      <c r="C41" s="14" t="e">
        <f>(F41+G42)/I45</f>
        <v>#DIV/0!</v>
      </c>
      <c r="D41" s="21" t="s">
        <v>14</v>
      </c>
      <c r="E41" s="22"/>
      <c r="F41" s="13" t="e">
        <f>SUM(F8:F38)</f>
        <v>#DIV/0!</v>
      </c>
      <c r="G41" s="15"/>
      <c r="H41" s="15"/>
      <c r="I41" s="15"/>
      <c r="J41" s="1"/>
      <c r="K41" s="1"/>
      <c r="L41" s="1"/>
      <c r="M41" s="1"/>
      <c r="N41" s="1"/>
    </row>
    <row r="42" spans="1:14" ht="12.75" customHeight="1" x14ac:dyDescent="0.25">
      <c r="A42" s="1"/>
      <c r="B42" s="1"/>
      <c r="C42" s="14" t="e">
        <f>SUM(F41+G42+H43)/I45</f>
        <v>#DIV/0!</v>
      </c>
      <c r="D42" s="21" t="s">
        <v>15</v>
      </c>
      <c r="E42" s="22"/>
      <c r="F42" s="15"/>
      <c r="G42" s="13" t="e">
        <f>SUM(G8:G38)</f>
        <v>#DIV/0!</v>
      </c>
      <c r="H42" s="15"/>
      <c r="I42" s="15"/>
      <c r="J42" s="1"/>
      <c r="K42" s="1"/>
      <c r="L42" s="1"/>
      <c r="M42" s="1"/>
      <c r="N42" s="1"/>
    </row>
    <row r="43" spans="1:14" ht="12.75" customHeight="1" x14ac:dyDescent="0.25">
      <c r="A43" s="1"/>
      <c r="B43" s="1"/>
      <c r="C43" s="1"/>
      <c r="D43" s="21" t="s">
        <v>16</v>
      </c>
      <c r="E43" s="22"/>
      <c r="F43" s="15"/>
      <c r="G43" s="15"/>
      <c r="H43" s="13" t="e">
        <f>SUM(H8:H38)</f>
        <v>#DIV/0!</v>
      </c>
      <c r="I43" s="15"/>
      <c r="J43" s="1"/>
      <c r="K43" s="1"/>
      <c r="L43" s="1"/>
      <c r="M43" s="1"/>
      <c r="N43" s="1"/>
    </row>
    <row r="44" spans="1:14" ht="12.75" customHeight="1" x14ac:dyDescent="0.25">
      <c r="A44" s="1"/>
      <c r="B44" s="1"/>
      <c r="C44" s="1"/>
      <c r="D44" s="21" t="s">
        <v>17</v>
      </c>
      <c r="E44" s="22"/>
      <c r="F44" s="15"/>
      <c r="G44" s="15"/>
      <c r="H44" s="15"/>
      <c r="I44" s="13" t="e">
        <f>SUM(I8:I38)</f>
        <v>#DIV/0!</v>
      </c>
      <c r="J44" s="1"/>
      <c r="K44" s="1"/>
      <c r="L44" s="1"/>
      <c r="M44" s="1"/>
      <c r="N44" s="1"/>
    </row>
    <row r="45" spans="1:14" ht="12.75" customHeight="1" x14ac:dyDescent="0.25">
      <c r="A45" s="1"/>
      <c r="B45" s="1"/>
      <c r="C45" s="1"/>
      <c r="D45" s="21" t="s">
        <v>18</v>
      </c>
      <c r="E45" s="23"/>
      <c r="F45" s="23"/>
      <c r="G45" s="22"/>
      <c r="H45" s="15"/>
      <c r="I45" s="16" t="e">
        <f>SUM(F41+G42+H43+I44)</f>
        <v>#DIV/0!</v>
      </c>
      <c r="J45" s="1"/>
      <c r="K45" s="1"/>
      <c r="L45" s="1"/>
      <c r="M45" s="1"/>
      <c r="N45" s="1"/>
    </row>
    <row r="46" spans="1:14" ht="12.75" customHeight="1" x14ac:dyDescent="0.25"/>
    <row r="47" spans="1:14" ht="12.75" customHeight="1" x14ac:dyDescent="0.25"/>
    <row r="48" spans="1:14" ht="12.75" customHeight="1" x14ac:dyDescent="0.25"/>
    <row r="49" s="18" customFormat="1" ht="12.75" customHeight="1" x14ac:dyDescent="0.25"/>
    <row r="50" s="18" customFormat="1" ht="12.75" customHeight="1" x14ac:dyDescent="0.25"/>
    <row r="51" s="18" customFormat="1" ht="12.75" customHeight="1" x14ac:dyDescent="0.25"/>
    <row r="52" s="18" customFormat="1" ht="12.75" customHeight="1" x14ac:dyDescent="0.25"/>
    <row r="53" s="18" customFormat="1" ht="12.75" customHeight="1" x14ac:dyDescent="0.25"/>
    <row r="54" s="18" customFormat="1" ht="12.75" customHeight="1" x14ac:dyDescent="0.25"/>
    <row r="55" s="18" customFormat="1" ht="12.75" customHeight="1" x14ac:dyDescent="0.25"/>
    <row r="56" s="18" customFormat="1" ht="12.75" customHeight="1" x14ac:dyDescent="0.25"/>
    <row r="57" s="18" customFormat="1" ht="12.75" customHeight="1" x14ac:dyDescent="0.25"/>
    <row r="58" s="18" customFormat="1" ht="12.75" customHeight="1" x14ac:dyDescent="0.25"/>
    <row r="59" s="18" customFormat="1" ht="12.75" customHeight="1" x14ac:dyDescent="0.25"/>
    <row r="60" s="18" customFormat="1" ht="12.75" customHeight="1" x14ac:dyDescent="0.25"/>
    <row r="61" s="18" customFormat="1" ht="12.75" customHeight="1" x14ac:dyDescent="0.25"/>
    <row r="62" s="18" customFormat="1" ht="12.75" customHeight="1" x14ac:dyDescent="0.25"/>
    <row r="63" s="18" customFormat="1" ht="12.75" customHeight="1" x14ac:dyDescent="0.25"/>
    <row r="64" s="18" customFormat="1" ht="12.75" customHeight="1" x14ac:dyDescent="0.25"/>
    <row r="65" s="18" customFormat="1" ht="12.75" customHeight="1" x14ac:dyDescent="0.25"/>
    <row r="66" s="18" customFormat="1" ht="12.75" customHeight="1" x14ac:dyDescent="0.25"/>
    <row r="67" s="18" customFormat="1" ht="12.75" customHeight="1" x14ac:dyDescent="0.25"/>
    <row r="68" s="18" customFormat="1" ht="12.75" customHeight="1" x14ac:dyDescent="0.25"/>
    <row r="69" s="18" customFormat="1" ht="12.75" customHeight="1" x14ac:dyDescent="0.25"/>
    <row r="70" s="18" customFormat="1" ht="12.75" customHeight="1" x14ac:dyDescent="0.25"/>
    <row r="71" s="18" customFormat="1" ht="12.75" customHeight="1" x14ac:dyDescent="0.25"/>
    <row r="72" s="18" customFormat="1" ht="12.75" customHeight="1" x14ac:dyDescent="0.25"/>
    <row r="73" s="18" customFormat="1" ht="12.75" customHeight="1" x14ac:dyDescent="0.25"/>
    <row r="74" s="18" customFormat="1" ht="12.75" customHeight="1" x14ac:dyDescent="0.25"/>
    <row r="75" s="18" customFormat="1" ht="12.75" customHeight="1" x14ac:dyDescent="0.25"/>
    <row r="76" s="18" customFormat="1" ht="12.75" customHeight="1" x14ac:dyDescent="0.25"/>
    <row r="77" s="18" customFormat="1" ht="12.75" customHeight="1" x14ac:dyDescent="0.25"/>
    <row r="78" s="18" customFormat="1" ht="12.75" customHeight="1" x14ac:dyDescent="0.25"/>
    <row r="79" s="18" customFormat="1" ht="12.75" customHeight="1" x14ac:dyDescent="0.25"/>
    <row r="80" s="18" customFormat="1" ht="12.75" customHeight="1" x14ac:dyDescent="0.25"/>
    <row r="81" s="18" customFormat="1" ht="12.75" customHeight="1" x14ac:dyDescent="0.25"/>
    <row r="82" s="18" customFormat="1" ht="12.75" customHeight="1" x14ac:dyDescent="0.25"/>
    <row r="83" s="18" customFormat="1" ht="12.75" customHeight="1" x14ac:dyDescent="0.25"/>
    <row r="84" s="18" customFormat="1" ht="12.75" customHeight="1" x14ac:dyDescent="0.25"/>
    <row r="85" s="18" customFormat="1" ht="12.75" customHeight="1" x14ac:dyDescent="0.25"/>
    <row r="86" s="18" customFormat="1" ht="12.75" customHeight="1" x14ac:dyDescent="0.25"/>
    <row r="87" s="18" customFormat="1" ht="12.75" customHeight="1" x14ac:dyDescent="0.25"/>
    <row r="88" s="18" customFormat="1" ht="12.75" customHeight="1" x14ac:dyDescent="0.25"/>
    <row r="89" s="18" customFormat="1" ht="12.75" customHeight="1" x14ac:dyDescent="0.25"/>
    <row r="90" s="18" customFormat="1" ht="12.75" customHeight="1" x14ac:dyDescent="0.25"/>
    <row r="91" s="18" customFormat="1" ht="12.75" customHeight="1" x14ac:dyDescent="0.25"/>
    <row r="92" s="18" customFormat="1" ht="12.75" customHeight="1" x14ac:dyDescent="0.25"/>
    <row r="93" s="18" customFormat="1" ht="12.75" customHeight="1" x14ac:dyDescent="0.25"/>
    <row r="94" s="18" customFormat="1" ht="12.75" customHeight="1" x14ac:dyDescent="0.25"/>
    <row r="95" s="18" customFormat="1" ht="12.75" customHeight="1" x14ac:dyDescent="0.25"/>
    <row r="96" s="18" customFormat="1" ht="12.75" customHeight="1" x14ac:dyDescent="0.25"/>
    <row r="97" s="18" customFormat="1" ht="12.75" customHeight="1" x14ac:dyDescent="0.25"/>
    <row r="98" s="18" customFormat="1" ht="12.75" customHeight="1" x14ac:dyDescent="0.25"/>
    <row r="99" s="18" customFormat="1" ht="12.75" customHeight="1" x14ac:dyDescent="0.25"/>
    <row r="100" s="18" customFormat="1" ht="12.75" customHeight="1" x14ac:dyDescent="0.25"/>
    <row r="101" s="18" customFormat="1" ht="12.75" customHeight="1" x14ac:dyDescent="0.25"/>
    <row r="102" s="18" customFormat="1" ht="12.75" customHeight="1" x14ac:dyDescent="0.25"/>
    <row r="103" s="18" customFormat="1" ht="12.75" customHeight="1" x14ac:dyDescent="0.25"/>
    <row r="104" s="18" customFormat="1" ht="12.75" customHeight="1" x14ac:dyDescent="0.25"/>
    <row r="105" s="18" customFormat="1" ht="12.75" customHeight="1" x14ac:dyDescent="0.25"/>
    <row r="106" s="18" customFormat="1" ht="12.75" customHeight="1" x14ac:dyDescent="0.25"/>
    <row r="107" s="18" customFormat="1" ht="12.75" customHeight="1" x14ac:dyDescent="0.25"/>
    <row r="108" s="18" customFormat="1" ht="12.75" customHeight="1" x14ac:dyDescent="0.25"/>
    <row r="109" s="18" customFormat="1" ht="12.75" customHeight="1" x14ac:dyDescent="0.25"/>
    <row r="110" s="18" customFormat="1" ht="12.75" customHeight="1" x14ac:dyDescent="0.25"/>
    <row r="111" s="18" customFormat="1" ht="12.75" customHeight="1" x14ac:dyDescent="0.25"/>
    <row r="112" s="18" customFormat="1" ht="12.75" customHeight="1" x14ac:dyDescent="0.25"/>
    <row r="113" s="18" customFormat="1" ht="12.75" customHeight="1" x14ac:dyDescent="0.25"/>
    <row r="114" s="18" customFormat="1" ht="12.75" customHeight="1" x14ac:dyDescent="0.25"/>
    <row r="115" s="18" customFormat="1" ht="12.75" customHeight="1" x14ac:dyDescent="0.25"/>
    <row r="116" s="18" customFormat="1" ht="12.75" customHeight="1" x14ac:dyDescent="0.25"/>
    <row r="117" s="18" customFormat="1" ht="12.75" customHeight="1" x14ac:dyDescent="0.25"/>
    <row r="118" s="18" customFormat="1" ht="12.75" customHeight="1" x14ac:dyDescent="0.25"/>
    <row r="119" s="18" customFormat="1" ht="12.75" customHeight="1" x14ac:dyDescent="0.25"/>
    <row r="120" s="18" customFormat="1" ht="12.75" customHeight="1" x14ac:dyDescent="0.25"/>
    <row r="121" s="18" customFormat="1" ht="12.75" customHeight="1" x14ac:dyDescent="0.25"/>
    <row r="122" s="18" customFormat="1" ht="12.75" customHeight="1" x14ac:dyDescent="0.25"/>
    <row r="123" s="18" customFormat="1" ht="12.75" customHeight="1" x14ac:dyDescent="0.25"/>
    <row r="124" s="18" customFormat="1" ht="12.75" customHeight="1" x14ac:dyDescent="0.25"/>
    <row r="125" s="18" customFormat="1" ht="12.75" customHeight="1" x14ac:dyDescent="0.25"/>
    <row r="126" s="18" customFormat="1" ht="12.75" customHeight="1" x14ac:dyDescent="0.25"/>
    <row r="127" s="18" customFormat="1" ht="12.75" customHeight="1" x14ac:dyDescent="0.25"/>
    <row r="128" s="18" customFormat="1" ht="12.75" customHeight="1" x14ac:dyDescent="0.25"/>
    <row r="129" s="18" customFormat="1" ht="12.75" customHeight="1" x14ac:dyDescent="0.25"/>
    <row r="130" s="18" customFormat="1" ht="12.75" customHeight="1" x14ac:dyDescent="0.25"/>
    <row r="131" s="18" customFormat="1" ht="12.75" customHeight="1" x14ac:dyDescent="0.25"/>
    <row r="132" s="18" customFormat="1" ht="12.75" customHeight="1" x14ac:dyDescent="0.25"/>
    <row r="133" s="18" customFormat="1" ht="12.75" customHeight="1" x14ac:dyDescent="0.25"/>
    <row r="134" s="18" customFormat="1" ht="12.75" customHeight="1" x14ac:dyDescent="0.25"/>
    <row r="135" s="18" customFormat="1" ht="12.75" customHeight="1" x14ac:dyDescent="0.25"/>
    <row r="136" s="18" customFormat="1" ht="12.75" customHeight="1" x14ac:dyDescent="0.25"/>
    <row r="137" s="18" customFormat="1" ht="12.75" customHeight="1" x14ac:dyDescent="0.25"/>
    <row r="138" s="18" customFormat="1" ht="12.75" customHeight="1" x14ac:dyDescent="0.25"/>
    <row r="139" s="18" customFormat="1" ht="12.75" customHeight="1" x14ac:dyDescent="0.25"/>
    <row r="140" s="18" customFormat="1" ht="12.75" customHeight="1" x14ac:dyDescent="0.25"/>
    <row r="141" s="18" customFormat="1" ht="12.75" customHeight="1" x14ac:dyDescent="0.25"/>
    <row r="142" s="18" customFormat="1" ht="12.75" customHeight="1" x14ac:dyDescent="0.25"/>
    <row r="143" s="18" customFormat="1" ht="12.75" customHeight="1" x14ac:dyDescent="0.25"/>
    <row r="144" s="18" customFormat="1" ht="12.75" customHeight="1" x14ac:dyDescent="0.25"/>
    <row r="145" s="18" customFormat="1" ht="12.75" customHeight="1" x14ac:dyDescent="0.25"/>
    <row r="146" s="18" customFormat="1" ht="12.75" customHeight="1" x14ac:dyDescent="0.25"/>
    <row r="147" s="18" customFormat="1" ht="12.75" customHeight="1" x14ac:dyDescent="0.25"/>
    <row r="148" s="18" customFormat="1" ht="12.75" customHeight="1" x14ac:dyDescent="0.25"/>
    <row r="149" s="18" customFormat="1" ht="12.75" customHeight="1" x14ac:dyDescent="0.25"/>
    <row r="150" s="18" customFormat="1" ht="12.75" customHeight="1" x14ac:dyDescent="0.25"/>
    <row r="151" s="18" customFormat="1" ht="12.75" customHeight="1" x14ac:dyDescent="0.25"/>
    <row r="152" s="18" customFormat="1" ht="12.75" customHeight="1" x14ac:dyDescent="0.25"/>
    <row r="153" s="18" customFormat="1" ht="12.75" customHeight="1" x14ac:dyDescent="0.25"/>
    <row r="154" s="18" customFormat="1" ht="12.75" customHeight="1" x14ac:dyDescent="0.25"/>
    <row r="155" s="18" customFormat="1" ht="12.75" customHeight="1" x14ac:dyDescent="0.25"/>
    <row r="156" s="18" customFormat="1" ht="12.75" customHeight="1" x14ac:dyDescent="0.25"/>
    <row r="157" s="18" customFormat="1" ht="12.75" customHeight="1" x14ac:dyDescent="0.25"/>
    <row r="158" s="18" customFormat="1" ht="12.75" customHeight="1" x14ac:dyDescent="0.25"/>
    <row r="159" s="18" customFormat="1" ht="12.75" customHeight="1" x14ac:dyDescent="0.25"/>
    <row r="160" s="18" customFormat="1" ht="12.75" customHeight="1" x14ac:dyDescent="0.25"/>
    <row r="161" s="18" customFormat="1" ht="12.75" customHeight="1" x14ac:dyDescent="0.25"/>
    <row r="162" s="18" customFormat="1" ht="12.75" customHeight="1" x14ac:dyDescent="0.25"/>
    <row r="163" s="18" customFormat="1" ht="12.75" customHeight="1" x14ac:dyDescent="0.25"/>
    <row r="164" s="18" customFormat="1" ht="12.75" customHeight="1" x14ac:dyDescent="0.25"/>
    <row r="165" s="18" customFormat="1" ht="12.75" customHeight="1" x14ac:dyDescent="0.25"/>
    <row r="166" s="18" customFormat="1" ht="12.75" customHeight="1" x14ac:dyDescent="0.25"/>
    <row r="167" s="18" customFormat="1" ht="12.75" customHeight="1" x14ac:dyDescent="0.25"/>
    <row r="168" s="18" customFormat="1" ht="12.75" customHeight="1" x14ac:dyDescent="0.25"/>
    <row r="169" s="18" customFormat="1" ht="12.75" customHeight="1" x14ac:dyDescent="0.25"/>
    <row r="170" s="18" customFormat="1" ht="12.75" customHeight="1" x14ac:dyDescent="0.25"/>
    <row r="171" s="18" customFormat="1" ht="12.75" customHeight="1" x14ac:dyDescent="0.25"/>
    <row r="172" s="18" customFormat="1" ht="12.75" customHeight="1" x14ac:dyDescent="0.25"/>
    <row r="173" s="18" customFormat="1" ht="12.75" customHeight="1" x14ac:dyDescent="0.25"/>
    <row r="174" s="18" customFormat="1" ht="12.75" customHeight="1" x14ac:dyDescent="0.25"/>
    <row r="175" s="18" customFormat="1" ht="12.75" customHeight="1" x14ac:dyDescent="0.25"/>
    <row r="176" s="18" customFormat="1" ht="12.75" customHeight="1" x14ac:dyDescent="0.25"/>
    <row r="177" s="18" customFormat="1" ht="12.75" customHeight="1" x14ac:dyDescent="0.25"/>
    <row r="178" s="18" customFormat="1" ht="12.75" customHeight="1" x14ac:dyDescent="0.25"/>
    <row r="179" s="18" customFormat="1" ht="12.75" customHeight="1" x14ac:dyDescent="0.25"/>
    <row r="180" s="18" customFormat="1" ht="12.75" customHeight="1" x14ac:dyDescent="0.25"/>
    <row r="181" s="18" customFormat="1" ht="12.75" customHeight="1" x14ac:dyDescent="0.25"/>
    <row r="182" s="18" customFormat="1" ht="12.75" customHeight="1" x14ac:dyDescent="0.25"/>
    <row r="183" s="18" customFormat="1" ht="12.75" customHeight="1" x14ac:dyDescent="0.25"/>
    <row r="184" s="18" customFormat="1" ht="12.75" customHeight="1" x14ac:dyDescent="0.25"/>
    <row r="185" s="18" customFormat="1" ht="12.75" customHeight="1" x14ac:dyDescent="0.25"/>
    <row r="186" s="18" customFormat="1" ht="12.75" customHeight="1" x14ac:dyDescent="0.25"/>
    <row r="187" s="18" customFormat="1" ht="12.75" customHeight="1" x14ac:dyDescent="0.25"/>
    <row r="188" s="18" customFormat="1" ht="12.75" customHeight="1" x14ac:dyDescent="0.25"/>
    <row r="189" s="18" customFormat="1" ht="12.75" customHeight="1" x14ac:dyDescent="0.25"/>
    <row r="190" s="18" customFormat="1" ht="12.75" customHeight="1" x14ac:dyDescent="0.25"/>
    <row r="191" s="18" customFormat="1" ht="12.75" customHeight="1" x14ac:dyDescent="0.25"/>
    <row r="192" s="18" customFormat="1" ht="12.75" customHeight="1" x14ac:dyDescent="0.25"/>
    <row r="193" s="18" customFormat="1" ht="12.75" customHeight="1" x14ac:dyDescent="0.25"/>
    <row r="194" s="18" customFormat="1" ht="12.75" customHeight="1" x14ac:dyDescent="0.25"/>
    <row r="195" s="18" customFormat="1" ht="12.75" customHeight="1" x14ac:dyDescent="0.25"/>
    <row r="196" s="18" customFormat="1" ht="12.75" customHeight="1" x14ac:dyDescent="0.25"/>
    <row r="197" s="18" customFormat="1" ht="12.75" customHeight="1" x14ac:dyDescent="0.25"/>
    <row r="198" s="18" customFormat="1" ht="12.75" customHeight="1" x14ac:dyDescent="0.25"/>
    <row r="199" s="18" customFormat="1" ht="12.75" customHeight="1" x14ac:dyDescent="0.25"/>
    <row r="200" s="18" customFormat="1" ht="12.75" customHeight="1" x14ac:dyDescent="0.25"/>
    <row r="201" s="18" customFormat="1" ht="12.75" customHeight="1" x14ac:dyDescent="0.25"/>
    <row r="202" s="18" customFormat="1" ht="12.75" customHeight="1" x14ac:dyDescent="0.25"/>
    <row r="203" s="18" customFormat="1" ht="12.75" customHeight="1" x14ac:dyDescent="0.25"/>
    <row r="204" s="18" customFormat="1" ht="12.75" customHeight="1" x14ac:dyDescent="0.25"/>
    <row r="205" s="18" customFormat="1" ht="12.75" customHeight="1" x14ac:dyDescent="0.25"/>
    <row r="206" s="18" customFormat="1" ht="12.75" customHeight="1" x14ac:dyDescent="0.25"/>
    <row r="207" s="18" customFormat="1" ht="12.75" customHeight="1" x14ac:dyDescent="0.25"/>
    <row r="208" s="18" customFormat="1" ht="12.75" customHeight="1" x14ac:dyDescent="0.25"/>
    <row r="209" s="18" customFormat="1" ht="12.75" customHeight="1" x14ac:dyDescent="0.25"/>
    <row r="210" s="18" customFormat="1" ht="12.75" customHeight="1" x14ac:dyDescent="0.25"/>
    <row r="211" s="18" customFormat="1" ht="12.75" customHeight="1" x14ac:dyDescent="0.25"/>
    <row r="212" s="18" customFormat="1" ht="12.75" customHeight="1" x14ac:dyDescent="0.25"/>
    <row r="213" s="18" customFormat="1" ht="12.75" customHeight="1" x14ac:dyDescent="0.25"/>
    <row r="214" s="18" customFormat="1" ht="12.75" customHeight="1" x14ac:dyDescent="0.25"/>
    <row r="215" s="18" customFormat="1" ht="12.75" customHeight="1" x14ac:dyDescent="0.25"/>
    <row r="216" s="18" customFormat="1" ht="12.75" customHeight="1" x14ac:dyDescent="0.25"/>
    <row r="217" s="18" customFormat="1" ht="12.75" customHeight="1" x14ac:dyDescent="0.25"/>
    <row r="218" s="18" customFormat="1" ht="12.75" customHeight="1" x14ac:dyDescent="0.25"/>
    <row r="219" s="18" customFormat="1" ht="12.75" customHeight="1" x14ac:dyDescent="0.25"/>
    <row r="220" s="18" customFormat="1" ht="12.75" customHeight="1" x14ac:dyDescent="0.25"/>
    <row r="221" s="18" customFormat="1" ht="12.75" customHeight="1" x14ac:dyDescent="0.25"/>
    <row r="222" s="18" customFormat="1" ht="12.75" customHeight="1" x14ac:dyDescent="0.25"/>
    <row r="223" s="18" customFormat="1" ht="12.75" customHeight="1" x14ac:dyDescent="0.25"/>
    <row r="224" s="18" customFormat="1" ht="12.75" customHeight="1" x14ac:dyDescent="0.25"/>
    <row r="225" s="18" customFormat="1" ht="12.75" customHeight="1" x14ac:dyDescent="0.25"/>
    <row r="226" s="18" customFormat="1" ht="12.75" customHeight="1" x14ac:dyDescent="0.25"/>
    <row r="227" s="18" customFormat="1" ht="12.75" customHeight="1" x14ac:dyDescent="0.25"/>
    <row r="228" s="18" customFormat="1" ht="12.75" customHeight="1" x14ac:dyDescent="0.25"/>
    <row r="229" s="18" customFormat="1" ht="12.75" customHeight="1" x14ac:dyDescent="0.25"/>
    <row r="230" s="18" customFormat="1" ht="12.75" customHeight="1" x14ac:dyDescent="0.25"/>
    <row r="231" s="18" customFormat="1" ht="12.75" customHeight="1" x14ac:dyDescent="0.25"/>
    <row r="232" s="18" customFormat="1" ht="12.75" customHeight="1" x14ac:dyDescent="0.25"/>
    <row r="233" s="18" customFormat="1" ht="12.75" customHeight="1" x14ac:dyDescent="0.25"/>
    <row r="234" s="18" customFormat="1" ht="12.75" customHeight="1" x14ac:dyDescent="0.25"/>
    <row r="235" s="18" customFormat="1" ht="12.75" customHeight="1" x14ac:dyDescent="0.25"/>
    <row r="236" s="18" customFormat="1" ht="12.75" customHeight="1" x14ac:dyDescent="0.25"/>
    <row r="237" s="18" customFormat="1" ht="12.75" customHeight="1" x14ac:dyDescent="0.25"/>
    <row r="238" s="18" customFormat="1" ht="12.75" customHeight="1" x14ac:dyDescent="0.25"/>
    <row r="239" s="18" customFormat="1" ht="12.75" customHeight="1" x14ac:dyDescent="0.25"/>
    <row r="240" s="18" customFormat="1" ht="12.75" customHeight="1" x14ac:dyDescent="0.25"/>
    <row r="241" s="18" customFormat="1" ht="12.75" customHeight="1" x14ac:dyDescent="0.25"/>
    <row r="242" s="18" customFormat="1" ht="12.75" customHeight="1" x14ac:dyDescent="0.25"/>
    <row r="243" s="18" customFormat="1" ht="12.75" customHeight="1" x14ac:dyDescent="0.25"/>
    <row r="244" s="18" customFormat="1" ht="12.75" customHeight="1" x14ac:dyDescent="0.25"/>
    <row r="245" s="18" customFormat="1" ht="12.75" customHeight="1" x14ac:dyDescent="0.25"/>
    <row r="246" s="18" customFormat="1" ht="12.75" customHeight="1" x14ac:dyDescent="0.25"/>
    <row r="247" s="18" customFormat="1" ht="12.75" customHeight="1" x14ac:dyDescent="0.25"/>
    <row r="248" s="18" customFormat="1" ht="12.75" customHeight="1" x14ac:dyDescent="0.25"/>
    <row r="249" s="18" customFormat="1" ht="12.75" customHeight="1" x14ac:dyDescent="0.25"/>
    <row r="250" s="18" customFormat="1" ht="12.75" customHeight="1" x14ac:dyDescent="0.25"/>
    <row r="251" s="18" customFormat="1" ht="12.75" customHeight="1" x14ac:dyDescent="0.25"/>
    <row r="252" s="18" customFormat="1" ht="12.75" customHeight="1" x14ac:dyDescent="0.25"/>
    <row r="253" s="18" customFormat="1" ht="12.75" customHeight="1" x14ac:dyDescent="0.25"/>
    <row r="254" s="18" customFormat="1" ht="12.75" customHeight="1" x14ac:dyDescent="0.25"/>
    <row r="255" s="18" customFormat="1" ht="12.75" customHeight="1" x14ac:dyDescent="0.25"/>
    <row r="256" s="18" customFormat="1" ht="12.75" customHeight="1" x14ac:dyDescent="0.25"/>
    <row r="257" s="18" customFormat="1" ht="12.75" customHeight="1" x14ac:dyDescent="0.25"/>
    <row r="258" s="18" customFormat="1" ht="12.75" customHeight="1" x14ac:dyDescent="0.25"/>
    <row r="259" s="18" customFormat="1" ht="12.75" customHeight="1" x14ac:dyDescent="0.25"/>
    <row r="260" s="18" customFormat="1" ht="12.75" customHeight="1" x14ac:dyDescent="0.25"/>
    <row r="261" s="18" customFormat="1" ht="12.75" customHeight="1" x14ac:dyDescent="0.25"/>
    <row r="262" s="18" customFormat="1" ht="12.75" customHeight="1" x14ac:dyDescent="0.25"/>
    <row r="263" s="18" customFormat="1" ht="12.75" customHeight="1" x14ac:dyDescent="0.25"/>
    <row r="264" s="18" customFormat="1" ht="12.75" customHeight="1" x14ac:dyDescent="0.25"/>
    <row r="265" s="18" customFormat="1" ht="12.75" customHeight="1" x14ac:dyDescent="0.25"/>
    <row r="266" s="18" customFormat="1" ht="12.75" customHeight="1" x14ac:dyDescent="0.25"/>
    <row r="267" s="18" customFormat="1" ht="12.75" customHeight="1" x14ac:dyDescent="0.25"/>
    <row r="268" s="18" customFormat="1" ht="12.75" customHeight="1" x14ac:dyDescent="0.25"/>
    <row r="269" s="18" customFormat="1" ht="12.75" customHeight="1" x14ac:dyDescent="0.25"/>
    <row r="270" s="18" customFormat="1" ht="12.75" customHeight="1" x14ac:dyDescent="0.25"/>
    <row r="271" s="18" customFormat="1" ht="12.75" customHeight="1" x14ac:dyDescent="0.25"/>
    <row r="272" s="18" customFormat="1" ht="12.75" customHeight="1" x14ac:dyDescent="0.25"/>
    <row r="273" s="18" customFormat="1" ht="12.75" customHeight="1" x14ac:dyDescent="0.25"/>
    <row r="274" s="18" customFormat="1" ht="12.75" customHeight="1" x14ac:dyDescent="0.25"/>
    <row r="275" s="18" customFormat="1" ht="12.75" customHeight="1" x14ac:dyDescent="0.25"/>
    <row r="276" s="18" customFormat="1" ht="12.75" customHeight="1" x14ac:dyDescent="0.25"/>
    <row r="277" s="18" customFormat="1" ht="12.75" customHeight="1" x14ac:dyDescent="0.25"/>
    <row r="278" s="18" customFormat="1" ht="12.75" customHeight="1" x14ac:dyDescent="0.25"/>
    <row r="279" s="18" customFormat="1" ht="12.75" customHeight="1" x14ac:dyDescent="0.25"/>
    <row r="280" s="18" customFormat="1" ht="12.75" customHeight="1" x14ac:dyDescent="0.25"/>
    <row r="281" s="18" customFormat="1" ht="12.75" customHeight="1" x14ac:dyDescent="0.25"/>
    <row r="282" s="18" customFormat="1" ht="12.75" customHeight="1" x14ac:dyDescent="0.25"/>
    <row r="283" s="18" customFormat="1" ht="12.75" customHeight="1" x14ac:dyDescent="0.25"/>
    <row r="284" s="18" customFormat="1" ht="12.75" customHeight="1" x14ac:dyDescent="0.25"/>
    <row r="285" s="18" customFormat="1" ht="12.75" customHeight="1" x14ac:dyDescent="0.25"/>
    <row r="286" s="18" customFormat="1" ht="12.75" customHeight="1" x14ac:dyDescent="0.25"/>
    <row r="287" s="18" customFormat="1" ht="12.75" customHeight="1" x14ac:dyDescent="0.25"/>
    <row r="288" s="18" customFormat="1" ht="12.75" customHeight="1" x14ac:dyDescent="0.25"/>
    <row r="289" s="18" customFormat="1" ht="12.75" customHeight="1" x14ac:dyDescent="0.25"/>
    <row r="290" s="18" customFormat="1" ht="12.75" customHeight="1" x14ac:dyDescent="0.25"/>
    <row r="291" s="18" customFormat="1" ht="12.75" customHeight="1" x14ac:dyDescent="0.25"/>
    <row r="292" s="18" customFormat="1" ht="12.75" customHeight="1" x14ac:dyDescent="0.25"/>
    <row r="293" s="18" customFormat="1" ht="12.75" customHeight="1" x14ac:dyDescent="0.25"/>
    <row r="294" s="18" customFormat="1" ht="12.75" customHeight="1" x14ac:dyDescent="0.25"/>
    <row r="295" s="18" customFormat="1" ht="12.75" customHeight="1" x14ac:dyDescent="0.25"/>
    <row r="296" s="18" customFormat="1" ht="12.75" customHeight="1" x14ac:dyDescent="0.25"/>
    <row r="297" s="18" customFormat="1" ht="12.75" customHeight="1" x14ac:dyDescent="0.25"/>
    <row r="298" s="18" customFormat="1" ht="12.75" customHeight="1" x14ac:dyDescent="0.25"/>
    <row r="299" s="18" customFormat="1" ht="12.75" customHeight="1" x14ac:dyDescent="0.25"/>
    <row r="300" s="18" customFormat="1" ht="12.75" customHeight="1" x14ac:dyDescent="0.25"/>
    <row r="301" s="18" customFormat="1" ht="12.75" customHeight="1" x14ac:dyDescent="0.25"/>
    <row r="302" s="18" customFormat="1" ht="12.75" customHeight="1" x14ac:dyDescent="0.25"/>
    <row r="303" s="18" customFormat="1" ht="12.75" customHeight="1" x14ac:dyDescent="0.25"/>
    <row r="304" s="18" customFormat="1" ht="12.75" customHeight="1" x14ac:dyDescent="0.25"/>
    <row r="305" s="18" customFormat="1" ht="12.75" customHeight="1" x14ac:dyDescent="0.25"/>
    <row r="306" s="18" customFormat="1" ht="12.75" customHeight="1" x14ac:dyDescent="0.25"/>
    <row r="307" s="18" customFormat="1" ht="12.75" customHeight="1" x14ac:dyDescent="0.25"/>
    <row r="308" s="18" customFormat="1" ht="12.75" customHeight="1" x14ac:dyDescent="0.25"/>
    <row r="309" s="18" customFormat="1" ht="12.75" customHeight="1" x14ac:dyDescent="0.25"/>
    <row r="310" s="18" customFormat="1" ht="12.75" customHeight="1" x14ac:dyDescent="0.25"/>
    <row r="311" s="18" customFormat="1" ht="12.75" customHeight="1" x14ac:dyDescent="0.25"/>
    <row r="312" s="18" customFormat="1" ht="12.75" customHeight="1" x14ac:dyDescent="0.25"/>
    <row r="313" s="18" customFormat="1" ht="12.75" customHeight="1" x14ac:dyDescent="0.25"/>
    <row r="314" s="18" customFormat="1" ht="12.75" customHeight="1" x14ac:dyDescent="0.25"/>
    <row r="315" s="18" customFormat="1" ht="12.75" customHeight="1" x14ac:dyDescent="0.25"/>
    <row r="316" s="18" customFormat="1" ht="12.75" customHeight="1" x14ac:dyDescent="0.25"/>
    <row r="317" s="18" customFormat="1" ht="12.75" customHeight="1" x14ac:dyDescent="0.25"/>
    <row r="318" s="18" customFormat="1" ht="12.75" customHeight="1" x14ac:dyDescent="0.25"/>
    <row r="319" s="18" customFormat="1" ht="12.75" customHeight="1" x14ac:dyDescent="0.25"/>
    <row r="320" s="18" customFormat="1" ht="12.75" customHeight="1" x14ac:dyDescent="0.25"/>
    <row r="321" s="18" customFormat="1" ht="12.75" customHeight="1" x14ac:dyDescent="0.25"/>
    <row r="322" s="18" customFormat="1" ht="12.75" customHeight="1" x14ac:dyDescent="0.25"/>
    <row r="323" s="18" customFormat="1" ht="12.75" customHeight="1" x14ac:dyDescent="0.25"/>
    <row r="324" s="18" customFormat="1" ht="12.75" customHeight="1" x14ac:dyDescent="0.25"/>
    <row r="325" s="18" customFormat="1" ht="12.75" customHeight="1" x14ac:dyDescent="0.25"/>
    <row r="326" s="18" customFormat="1" ht="12.75" customHeight="1" x14ac:dyDescent="0.25"/>
    <row r="327" s="18" customFormat="1" ht="12.75" customHeight="1" x14ac:dyDescent="0.25"/>
    <row r="328" s="18" customFormat="1" ht="12.75" customHeight="1" x14ac:dyDescent="0.25"/>
    <row r="329" s="18" customFormat="1" ht="12.75" customHeight="1" x14ac:dyDescent="0.25"/>
    <row r="330" s="18" customFormat="1" ht="12.75" customHeight="1" x14ac:dyDescent="0.25"/>
    <row r="331" s="18" customFormat="1" ht="12.75" customHeight="1" x14ac:dyDescent="0.25"/>
    <row r="332" s="18" customFormat="1" ht="12.75" customHeight="1" x14ac:dyDescent="0.25"/>
    <row r="333" s="18" customFormat="1" ht="12.75" customHeight="1" x14ac:dyDescent="0.25"/>
    <row r="334" s="18" customFormat="1" ht="12.75" customHeight="1" x14ac:dyDescent="0.25"/>
    <row r="335" s="18" customFormat="1" ht="12.75" customHeight="1" x14ac:dyDescent="0.25"/>
    <row r="336" s="18" customFormat="1" ht="12.75" customHeight="1" x14ac:dyDescent="0.25"/>
    <row r="337" s="18" customFormat="1" ht="12.75" customHeight="1" x14ac:dyDescent="0.25"/>
    <row r="338" s="18" customFormat="1" ht="12.75" customHeight="1" x14ac:dyDescent="0.25"/>
    <row r="339" s="18" customFormat="1" ht="12.75" customHeight="1" x14ac:dyDescent="0.25"/>
    <row r="340" s="18" customFormat="1" ht="12.75" customHeight="1" x14ac:dyDescent="0.25"/>
    <row r="341" s="18" customFormat="1" ht="12.75" customHeight="1" x14ac:dyDescent="0.25"/>
    <row r="342" s="18" customFormat="1" ht="12.75" customHeight="1" x14ac:dyDescent="0.25"/>
    <row r="343" s="18" customFormat="1" ht="12.75" customHeight="1" x14ac:dyDescent="0.25"/>
    <row r="344" s="18" customFormat="1" ht="12.75" customHeight="1" x14ac:dyDescent="0.25"/>
    <row r="345" s="18" customFormat="1" ht="12.75" customHeight="1" x14ac:dyDescent="0.25"/>
    <row r="346" s="18" customFormat="1" ht="12.75" customHeight="1" x14ac:dyDescent="0.25"/>
    <row r="347" s="18" customFormat="1" ht="12.75" customHeight="1" x14ac:dyDescent="0.25"/>
    <row r="348" s="18" customFormat="1" ht="12.75" customHeight="1" x14ac:dyDescent="0.25"/>
    <row r="349" s="18" customFormat="1" ht="12.75" customHeight="1" x14ac:dyDescent="0.25"/>
    <row r="350" s="18" customFormat="1" ht="12.75" customHeight="1" x14ac:dyDescent="0.25"/>
    <row r="351" s="18" customFormat="1" ht="12.75" customHeight="1" x14ac:dyDescent="0.25"/>
    <row r="352" s="18" customFormat="1" ht="12.75" customHeight="1" x14ac:dyDescent="0.25"/>
    <row r="353" s="18" customFormat="1" ht="12.75" customHeight="1" x14ac:dyDescent="0.25"/>
    <row r="354" s="18" customFormat="1" ht="12.75" customHeight="1" x14ac:dyDescent="0.25"/>
    <row r="355" s="18" customFormat="1" ht="12.75" customHeight="1" x14ac:dyDescent="0.25"/>
    <row r="356" s="18" customFormat="1" ht="12.75" customHeight="1" x14ac:dyDescent="0.25"/>
    <row r="357" s="18" customFormat="1" ht="12.75" customHeight="1" x14ac:dyDescent="0.25"/>
    <row r="358" s="18" customFormat="1" ht="12.75" customHeight="1" x14ac:dyDescent="0.25"/>
    <row r="359" s="18" customFormat="1" ht="12.75" customHeight="1" x14ac:dyDescent="0.25"/>
    <row r="360" s="18" customFormat="1" ht="12.75" customHeight="1" x14ac:dyDescent="0.25"/>
    <row r="361" s="18" customFormat="1" ht="12.75" customHeight="1" x14ac:dyDescent="0.25"/>
    <row r="362" s="18" customFormat="1" ht="12.75" customHeight="1" x14ac:dyDescent="0.25"/>
    <row r="363" s="18" customFormat="1" ht="12.75" customHeight="1" x14ac:dyDescent="0.25"/>
    <row r="364" s="18" customFormat="1" ht="12.75" customHeight="1" x14ac:dyDescent="0.25"/>
    <row r="365" s="18" customFormat="1" ht="12.75" customHeight="1" x14ac:dyDescent="0.25"/>
    <row r="366" s="18" customFormat="1" ht="12.75" customHeight="1" x14ac:dyDescent="0.25"/>
    <row r="367" s="18" customFormat="1" ht="12.75" customHeight="1" x14ac:dyDescent="0.25"/>
    <row r="368" s="18" customFormat="1" ht="12.75" customHeight="1" x14ac:dyDescent="0.25"/>
    <row r="369" s="18" customFormat="1" ht="12.75" customHeight="1" x14ac:dyDescent="0.25"/>
    <row r="370" s="18" customFormat="1" ht="12.75" customHeight="1" x14ac:dyDescent="0.25"/>
    <row r="371" s="18" customFormat="1" ht="12.75" customHeight="1" x14ac:dyDescent="0.25"/>
    <row r="372" s="18" customFormat="1" ht="12.75" customHeight="1" x14ac:dyDescent="0.25"/>
    <row r="373" s="18" customFormat="1" ht="12.75" customHeight="1" x14ac:dyDescent="0.25"/>
    <row r="374" s="18" customFormat="1" ht="12.75" customHeight="1" x14ac:dyDescent="0.25"/>
    <row r="375" s="18" customFormat="1" ht="12.75" customHeight="1" x14ac:dyDescent="0.25"/>
    <row r="376" s="18" customFormat="1" ht="12.75" customHeight="1" x14ac:dyDescent="0.25"/>
    <row r="377" s="18" customFormat="1" ht="12.75" customHeight="1" x14ac:dyDescent="0.25"/>
    <row r="378" s="18" customFormat="1" ht="12.75" customHeight="1" x14ac:dyDescent="0.25"/>
    <row r="379" s="18" customFormat="1" ht="12.75" customHeight="1" x14ac:dyDescent="0.25"/>
    <row r="380" s="18" customFormat="1" ht="12.75" customHeight="1" x14ac:dyDescent="0.25"/>
    <row r="381" s="18" customFormat="1" ht="12.75" customHeight="1" x14ac:dyDescent="0.25"/>
    <row r="382" s="18" customFormat="1" ht="12.75" customHeight="1" x14ac:dyDescent="0.25"/>
    <row r="383" s="18" customFormat="1" ht="12.75" customHeight="1" x14ac:dyDescent="0.25"/>
    <row r="384" s="18" customFormat="1" ht="12.75" customHeight="1" x14ac:dyDescent="0.25"/>
    <row r="385" s="18" customFormat="1" ht="12.75" customHeight="1" x14ac:dyDescent="0.25"/>
    <row r="386" s="18" customFormat="1" ht="12.75" customHeight="1" x14ac:dyDescent="0.25"/>
    <row r="387" s="18" customFormat="1" ht="12.75" customHeight="1" x14ac:dyDescent="0.25"/>
    <row r="388" s="18" customFormat="1" ht="12.75" customHeight="1" x14ac:dyDescent="0.25"/>
    <row r="389" s="18" customFormat="1" ht="12.75" customHeight="1" x14ac:dyDescent="0.25"/>
    <row r="390" s="18" customFormat="1" ht="12.75" customHeight="1" x14ac:dyDescent="0.25"/>
    <row r="391" s="18" customFormat="1" ht="12.75" customHeight="1" x14ac:dyDescent="0.25"/>
    <row r="392" s="18" customFormat="1" ht="12.75" customHeight="1" x14ac:dyDescent="0.25"/>
    <row r="393" s="18" customFormat="1" ht="12.75" customHeight="1" x14ac:dyDescent="0.25"/>
    <row r="394" s="18" customFormat="1" ht="12.75" customHeight="1" x14ac:dyDescent="0.25"/>
    <row r="395" s="18" customFormat="1" ht="12.75" customHeight="1" x14ac:dyDescent="0.25"/>
    <row r="396" s="18" customFormat="1" ht="12.75" customHeight="1" x14ac:dyDescent="0.25"/>
    <row r="397" s="18" customFormat="1" ht="12.75" customHeight="1" x14ac:dyDescent="0.25"/>
    <row r="398" s="18" customFormat="1" ht="12.75" customHeight="1" x14ac:dyDescent="0.25"/>
    <row r="399" s="18" customFormat="1" ht="12.75" customHeight="1" x14ac:dyDescent="0.25"/>
    <row r="400" s="18" customFormat="1" ht="12.75" customHeight="1" x14ac:dyDescent="0.25"/>
    <row r="401" s="18" customFormat="1" ht="12.75" customHeight="1" x14ac:dyDescent="0.25"/>
    <row r="402" s="18" customFormat="1" ht="12.75" customHeight="1" x14ac:dyDescent="0.25"/>
    <row r="403" s="18" customFormat="1" ht="12.75" customHeight="1" x14ac:dyDescent="0.25"/>
    <row r="404" s="18" customFormat="1" ht="12.75" customHeight="1" x14ac:dyDescent="0.25"/>
    <row r="405" s="18" customFormat="1" ht="12.75" customHeight="1" x14ac:dyDescent="0.25"/>
    <row r="406" s="18" customFormat="1" ht="12.75" customHeight="1" x14ac:dyDescent="0.25"/>
    <row r="407" s="18" customFormat="1" ht="12.75" customHeight="1" x14ac:dyDescent="0.25"/>
    <row r="408" s="18" customFormat="1" ht="12.75" customHeight="1" x14ac:dyDescent="0.25"/>
    <row r="409" s="18" customFormat="1" ht="12.75" customHeight="1" x14ac:dyDescent="0.25"/>
    <row r="410" s="18" customFormat="1" ht="12.75" customHeight="1" x14ac:dyDescent="0.25"/>
    <row r="411" s="18" customFormat="1" ht="12.75" customHeight="1" x14ac:dyDescent="0.25"/>
    <row r="412" s="18" customFormat="1" ht="12.75" customHeight="1" x14ac:dyDescent="0.25"/>
    <row r="413" s="18" customFormat="1" ht="12.75" customHeight="1" x14ac:dyDescent="0.25"/>
    <row r="414" s="18" customFormat="1" ht="12.75" customHeight="1" x14ac:dyDescent="0.25"/>
    <row r="415" s="18" customFormat="1" ht="12.75" customHeight="1" x14ac:dyDescent="0.25"/>
    <row r="416" s="18" customFormat="1" ht="12.75" customHeight="1" x14ac:dyDescent="0.25"/>
    <row r="417" s="18" customFormat="1" ht="12.75" customHeight="1" x14ac:dyDescent="0.25"/>
    <row r="418" s="18" customFormat="1" ht="12.75" customHeight="1" x14ac:dyDescent="0.25"/>
    <row r="419" s="18" customFormat="1" ht="12.75" customHeight="1" x14ac:dyDescent="0.25"/>
    <row r="420" s="18" customFormat="1" ht="12.75" customHeight="1" x14ac:dyDescent="0.25"/>
    <row r="421" s="18" customFormat="1" ht="12.75" customHeight="1" x14ac:dyDescent="0.25"/>
    <row r="422" s="18" customFormat="1" ht="12.75" customHeight="1" x14ac:dyDescent="0.25"/>
    <row r="423" s="18" customFormat="1" ht="12.75" customHeight="1" x14ac:dyDescent="0.25"/>
    <row r="424" s="18" customFormat="1" ht="12.75" customHeight="1" x14ac:dyDescent="0.25"/>
    <row r="425" s="18" customFormat="1" ht="12.75" customHeight="1" x14ac:dyDescent="0.25"/>
    <row r="426" s="18" customFormat="1" ht="12.75" customHeight="1" x14ac:dyDescent="0.25"/>
    <row r="427" s="18" customFormat="1" ht="12.75" customHeight="1" x14ac:dyDescent="0.25"/>
    <row r="428" s="18" customFormat="1" ht="12.75" customHeight="1" x14ac:dyDescent="0.25"/>
    <row r="429" s="18" customFormat="1" ht="12.75" customHeight="1" x14ac:dyDescent="0.25"/>
    <row r="430" s="18" customFormat="1" ht="12.75" customHeight="1" x14ac:dyDescent="0.25"/>
    <row r="431" s="18" customFormat="1" ht="12.75" customHeight="1" x14ac:dyDescent="0.25"/>
    <row r="432" s="18" customFormat="1" ht="12.75" customHeight="1" x14ac:dyDescent="0.25"/>
    <row r="433" s="18" customFormat="1" ht="12.75" customHeight="1" x14ac:dyDescent="0.25"/>
    <row r="434" s="18" customFormat="1" ht="12.75" customHeight="1" x14ac:dyDescent="0.25"/>
    <row r="435" s="18" customFormat="1" ht="12.75" customHeight="1" x14ac:dyDescent="0.25"/>
    <row r="436" s="18" customFormat="1" ht="12.75" customHeight="1" x14ac:dyDescent="0.25"/>
    <row r="437" s="18" customFormat="1" ht="12.75" customHeight="1" x14ac:dyDescent="0.25"/>
    <row r="438" s="18" customFormat="1" ht="12.75" customHeight="1" x14ac:dyDescent="0.25"/>
    <row r="439" s="18" customFormat="1" ht="12.75" customHeight="1" x14ac:dyDescent="0.25"/>
    <row r="440" s="18" customFormat="1" ht="12.75" customHeight="1" x14ac:dyDescent="0.25"/>
    <row r="441" s="18" customFormat="1" ht="12.75" customHeight="1" x14ac:dyDescent="0.25"/>
    <row r="442" s="18" customFormat="1" ht="12.75" customHeight="1" x14ac:dyDescent="0.25"/>
    <row r="443" s="18" customFormat="1" ht="12.75" customHeight="1" x14ac:dyDescent="0.25"/>
    <row r="444" s="18" customFormat="1" ht="12.75" customHeight="1" x14ac:dyDescent="0.25"/>
    <row r="445" s="18" customFormat="1" ht="12.75" customHeight="1" x14ac:dyDescent="0.25"/>
    <row r="446" s="18" customFormat="1" ht="12.75" customHeight="1" x14ac:dyDescent="0.25"/>
    <row r="447" s="18" customFormat="1" ht="12.75" customHeight="1" x14ac:dyDescent="0.25"/>
    <row r="448" s="18" customFormat="1" ht="12.75" customHeight="1" x14ac:dyDescent="0.25"/>
    <row r="449" s="18" customFormat="1" ht="12.75" customHeight="1" x14ac:dyDescent="0.25"/>
    <row r="450" s="18" customFormat="1" ht="12.75" customHeight="1" x14ac:dyDescent="0.25"/>
    <row r="451" s="18" customFormat="1" ht="12.75" customHeight="1" x14ac:dyDescent="0.25"/>
    <row r="452" s="18" customFormat="1" ht="12.75" customHeight="1" x14ac:dyDescent="0.25"/>
    <row r="453" s="18" customFormat="1" ht="12.75" customHeight="1" x14ac:dyDescent="0.25"/>
    <row r="454" s="18" customFormat="1" ht="12.75" customHeight="1" x14ac:dyDescent="0.25"/>
    <row r="455" s="18" customFormat="1" ht="12.75" customHeight="1" x14ac:dyDescent="0.25"/>
    <row r="456" s="18" customFormat="1" ht="12.75" customHeight="1" x14ac:dyDescent="0.25"/>
    <row r="457" s="18" customFormat="1" ht="12.75" customHeight="1" x14ac:dyDescent="0.25"/>
    <row r="458" s="18" customFormat="1" ht="12.75" customHeight="1" x14ac:dyDescent="0.25"/>
    <row r="459" s="18" customFormat="1" ht="12.75" customHeight="1" x14ac:dyDescent="0.25"/>
    <row r="460" s="18" customFormat="1" ht="12.75" customHeight="1" x14ac:dyDescent="0.25"/>
    <row r="461" s="18" customFormat="1" ht="12.75" customHeight="1" x14ac:dyDescent="0.25"/>
    <row r="462" s="18" customFormat="1" ht="12.75" customHeight="1" x14ac:dyDescent="0.25"/>
    <row r="463" s="18" customFormat="1" ht="12.75" customHeight="1" x14ac:dyDescent="0.25"/>
    <row r="464" s="18" customFormat="1" ht="12.75" customHeight="1" x14ac:dyDescent="0.25"/>
    <row r="465" s="18" customFormat="1" ht="12.75" customHeight="1" x14ac:dyDescent="0.25"/>
    <row r="466" s="18" customFormat="1" ht="12.75" customHeight="1" x14ac:dyDescent="0.25"/>
    <row r="467" s="18" customFormat="1" ht="12.75" customHeight="1" x14ac:dyDescent="0.25"/>
    <row r="468" s="18" customFormat="1" ht="12.75" customHeight="1" x14ac:dyDescent="0.25"/>
    <row r="469" s="18" customFormat="1" ht="12.75" customHeight="1" x14ac:dyDescent="0.25"/>
    <row r="470" s="18" customFormat="1" ht="12.75" customHeight="1" x14ac:dyDescent="0.25"/>
    <row r="471" s="18" customFormat="1" ht="12.75" customHeight="1" x14ac:dyDescent="0.25"/>
    <row r="472" s="18" customFormat="1" ht="12.75" customHeight="1" x14ac:dyDescent="0.25"/>
    <row r="473" s="18" customFormat="1" ht="12.75" customHeight="1" x14ac:dyDescent="0.25"/>
    <row r="474" s="18" customFormat="1" ht="12.75" customHeight="1" x14ac:dyDescent="0.25"/>
    <row r="475" s="18" customFormat="1" ht="12.75" customHeight="1" x14ac:dyDescent="0.25"/>
    <row r="476" s="18" customFormat="1" ht="12.75" customHeight="1" x14ac:dyDescent="0.25"/>
    <row r="477" s="18" customFormat="1" ht="12.75" customHeight="1" x14ac:dyDescent="0.25"/>
    <row r="478" s="18" customFormat="1" ht="12.75" customHeight="1" x14ac:dyDescent="0.25"/>
    <row r="479" s="18" customFormat="1" ht="12.75" customHeight="1" x14ac:dyDescent="0.25"/>
    <row r="480" s="18" customFormat="1" ht="12.75" customHeight="1" x14ac:dyDescent="0.25"/>
    <row r="481" s="18" customFormat="1" ht="12.75" customHeight="1" x14ac:dyDescent="0.25"/>
    <row r="482" s="18" customFormat="1" ht="12.75" customHeight="1" x14ac:dyDescent="0.25"/>
    <row r="483" s="18" customFormat="1" ht="12.75" customHeight="1" x14ac:dyDescent="0.25"/>
    <row r="484" s="18" customFormat="1" ht="12.75" customHeight="1" x14ac:dyDescent="0.25"/>
    <row r="485" s="18" customFormat="1" ht="12.75" customHeight="1" x14ac:dyDescent="0.25"/>
    <row r="486" s="18" customFormat="1" ht="12.75" customHeight="1" x14ac:dyDescent="0.25"/>
    <row r="487" s="18" customFormat="1" ht="12.75" customHeight="1" x14ac:dyDescent="0.25"/>
    <row r="488" s="18" customFormat="1" ht="12.75" customHeight="1" x14ac:dyDescent="0.25"/>
    <row r="489" s="18" customFormat="1" ht="12.75" customHeight="1" x14ac:dyDescent="0.25"/>
    <row r="490" s="18" customFormat="1" ht="12.75" customHeight="1" x14ac:dyDescent="0.25"/>
    <row r="491" s="18" customFormat="1" ht="12.75" customHeight="1" x14ac:dyDescent="0.25"/>
    <row r="492" s="18" customFormat="1" ht="12.75" customHeight="1" x14ac:dyDescent="0.25"/>
    <row r="493" s="18" customFormat="1" ht="12.75" customHeight="1" x14ac:dyDescent="0.25"/>
    <row r="494" s="18" customFormat="1" ht="12.75" customHeight="1" x14ac:dyDescent="0.25"/>
    <row r="495" s="18" customFormat="1" ht="12.75" customHeight="1" x14ac:dyDescent="0.25"/>
    <row r="496" s="18" customFormat="1" ht="12.75" customHeight="1" x14ac:dyDescent="0.25"/>
    <row r="497" s="18" customFormat="1" ht="12.75" customHeight="1" x14ac:dyDescent="0.25"/>
    <row r="498" s="18" customFormat="1" ht="12.75" customHeight="1" x14ac:dyDescent="0.25"/>
    <row r="499" s="18" customFormat="1" ht="12.75" customHeight="1" x14ac:dyDescent="0.25"/>
    <row r="500" s="18" customFormat="1" ht="12.75" customHeight="1" x14ac:dyDescent="0.25"/>
    <row r="501" s="18" customFormat="1" ht="12.75" customHeight="1" x14ac:dyDescent="0.25"/>
    <row r="502" s="18" customFormat="1" ht="12.75" customHeight="1" x14ac:dyDescent="0.25"/>
    <row r="503" s="18" customFormat="1" ht="12.75" customHeight="1" x14ac:dyDescent="0.25"/>
    <row r="504" s="18" customFormat="1" ht="12.75" customHeight="1" x14ac:dyDescent="0.25"/>
    <row r="505" s="18" customFormat="1" ht="12.75" customHeight="1" x14ac:dyDescent="0.25"/>
    <row r="506" s="18" customFormat="1" ht="12.75" customHeight="1" x14ac:dyDescent="0.25"/>
    <row r="507" s="18" customFormat="1" ht="12.75" customHeight="1" x14ac:dyDescent="0.25"/>
    <row r="508" s="18" customFormat="1" ht="12.75" customHeight="1" x14ac:dyDescent="0.25"/>
    <row r="509" s="18" customFormat="1" ht="12.75" customHeight="1" x14ac:dyDescent="0.25"/>
    <row r="510" s="18" customFormat="1" ht="12.75" customHeight="1" x14ac:dyDescent="0.25"/>
    <row r="511" s="18" customFormat="1" ht="12.75" customHeight="1" x14ac:dyDescent="0.25"/>
    <row r="512" s="18" customFormat="1" ht="12.75" customHeight="1" x14ac:dyDescent="0.25"/>
    <row r="513" s="18" customFormat="1" ht="12.75" customHeight="1" x14ac:dyDescent="0.25"/>
    <row r="514" s="18" customFormat="1" ht="12.75" customHeight="1" x14ac:dyDescent="0.25"/>
    <row r="515" s="18" customFormat="1" ht="12.75" customHeight="1" x14ac:dyDescent="0.25"/>
    <row r="516" s="18" customFormat="1" ht="12.75" customHeight="1" x14ac:dyDescent="0.25"/>
    <row r="517" s="18" customFormat="1" ht="12.75" customHeight="1" x14ac:dyDescent="0.25"/>
    <row r="518" s="18" customFormat="1" ht="12.75" customHeight="1" x14ac:dyDescent="0.25"/>
    <row r="519" s="18" customFormat="1" ht="12.75" customHeight="1" x14ac:dyDescent="0.25"/>
    <row r="520" s="18" customFormat="1" ht="12.75" customHeight="1" x14ac:dyDescent="0.25"/>
    <row r="521" s="18" customFormat="1" ht="12.75" customHeight="1" x14ac:dyDescent="0.25"/>
    <row r="522" s="18" customFormat="1" ht="12.75" customHeight="1" x14ac:dyDescent="0.25"/>
    <row r="523" s="18" customFormat="1" ht="12.75" customHeight="1" x14ac:dyDescent="0.25"/>
    <row r="524" s="18" customFormat="1" ht="12.75" customHeight="1" x14ac:dyDescent="0.25"/>
    <row r="525" s="18" customFormat="1" ht="12.75" customHeight="1" x14ac:dyDescent="0.25"/>
    <row r="526" s="18" customFormat="1" ht="12.75" customHeight="1" x14ac:dyDescent="0.25"/>
    <row r="527" s="18" customFormat="1" ht="12.75" customHeight="1" x14ac:dyDescent="0.25"/>
    <row r="528" s="18" customFormat="1" ht="12.75" customHeight="1" x14ac:dyDescent="0.25"/>
    <row r="529" s="18" customFormat="1" ht="12.75" customHeight="1" x14ac:dyDescent="0.25"/>
    <row r="530" s="18" customFormat="1" ht="12.75" customHeight="1" x14ac:dyDescent="0.25"/>
    <row r="531" s="18" customFormat="1" ht="12.75" customHeight="1" x14ac:dyDescent="0.25"/>
    <row r="532" s="18" customFormat="1" ht="12.75" customHeight="1" x14ac:dyDescent="0.25"/>
    <row r="533" s="18" customFormat="1" ht="12.75" customHeight="1" x14ac:dyDescent="0.25"/>
    <row r="534" s="18" customFormat="1" ht="12.75" customHeight="1" x14ac:dyDescent="0.25"/>
    <row r="535" s="18" customFormat="1" ht="12.75" customHeight="1" x14ac:dyDescent="0.25"/>
    <row r="536" s="18" customFormat="1" ht="12.75" customHeight="1" x14ac:dyDescent="0.25"/>
    <row r="537" s="18" customFormat="1" ht="12.75" customHeight="1" x14ac:dyDescent="0.25"/>
    <row r="538" s="18" customFormat="1" ht="12.75" customHeight="1" x14ac:dyDescent="0.25"/>
    <row r="539" s="18" customFormat="1" ht="12.75" customHeight="1" x14ac:dyDescent="0.25"/>
    <row r="540" s="18" customFormat="1" ht="12.75" customHeight="1" x14ac:dyDescent="0.25"/>
    <row r="541" s="18" customFormat="1" ht="12.75" customHeight="1" x14ac:dyDescent="0.25"/>
    <row r="542" s="18" customFormat="1" ht="12.75" customHeight="1" x14ac:dyDescent="0.25"/>
    <row r="543" s="18" customFormat="1" ht="12.75" customHeight="1" x14ac:dyDescent="0.25"/>
    <row r="544" s="18" customFormat="1" ht="12.75" customHeight="1" x14ac:dyDescent="0.25"/>
    <row r="545" s="18" customFormat="1" ht="12.75" customHeight="1" x14ac:dyDescent="0.25"/>
    <row r="546" s="18" customFormat="1" ht="12.75" customHeight="1" x14ac:dyDescent="0.25"/>
    <row r="547" s="18" customFormat="1" ht="12.75" customHeight="1" x14ac:dyDescent="0.25"/>
    <row r="548" s="18" customFormat="1" ht="12.75" customHeight="1" x14ac:dyDescent="0.25"/>
    <row r="549" s="18" customFormat="1" ht="12.75" customHeight="1" x14ac:dyDescent="0.25"/>
    <row r="550" s="18" customFormat="1" ht="12.75" customHeight="1" x14ac:dyDescent="0.25"/>
    <row r="551" s="18" customFormat="1" ht="12.75" customHeight="1" x14ac:dyDescent="0.25"/>
    <row r="552" s="18" customFormat="1" ht="12.75" customHeight="1" x14ac:dyDescent="0.25"/>
    <row r="553" s="18" customFormat="1" ht="12.75" customHeight="1" x14ac:dyDescent="0.25"/>
    <row r="554" s="18" customFormat="1" ht="12.75" customHeight="1" x14ac:dyDescent="0.25"/>
    <row r="555" s="18" customFormat="1" ht="12.75" customHeight="1" x14ac:dyDescent="0.25"/>
    <row r="556" s="18" customFormat="1" ht="12.75" customHeight="1" x14ac:dyDescent="0.25"/>
    <row r="557" s="18" customFormat="1" ht="12.75" customHeight="1" x14ac:dyDescent="0.25"/>
    <row r="558" s="18" customFormat="1" ht="12.75" customHeight="1" x14ac:dyDescent="0.25"/>
    <row r="559" s="18" customFormat="1" ht="12.75" customHeight="1" x14ac:dyDescent="0.25"/>
    <row r="560" s="18" customFormat="1" ht="12.75" customHeight="1" x14ac:dyDescent="0.25"/>
    <row r="561" s="18" customFormat="1" ht="12.75" customHeight="1" x14ac:dyDescent="0.25"/>
    <row r="562" s="18" customFormat="1" ht="12.75" customHeight="1" x14ac:dyDescent="0.25"/>
    <row r="563" s="18" customFormat="1" ht="12.75" customHeight="1" x14ac:dyDescent="0.25"/>
    <row r="564" s="18" customFormat="1" ht="12.75" customHeight="1" x14ac:dyDescent="0.25"/>
    <row r="565" s="18" customFormat="1" ht="12.75" customHeight="1" x14ac:dyDescent="0.25"/>
    <row r="566" s="18" customFormat="1" ht="12.75" customHeight="1" x14ac:dyDescent="0.25"/>
    <row r="567" s="18" customFormat="1" ht="12.75" customHeight="1" x14ac:dyDescent="0.25"/>
    <row r="568" s="18" customFormat="1" ht="12.75" customHeight="1" x14ac:dyDescent="0.25"/>
    <row r="569" s="18" customFormat="1" ht="12.75" customHeight="1" x14ac:dyDescent="0.25"/>
    <row r="570" s="18" customFormat="1" ht="12.75" customHeight="1" x14ac:dyDescent="0.25"/>
    <row r="571" s="18" customFormat="1" ht="12.75" customHeight="1" x14ac:dyDescent="0.25"/>
    <row r="572" s="18" customFormat="1" ht="12.75" customHeight="1" x14ac:dyDescent="0.25"/>
    <row r="573" s="18" customFormat="1" ht="12.75" customHeight="1" x14ac:dyDescent="0.25"/>
    <row r="574" s="18" customFormat="1" ht="12.75" customHeight="1" x14ac:dyDescent="0.25"/>
    <row r="575" s="18" customFormat="1" ht="12.75" customHeight="1" x14ac:dyDescent="0.25"/>
    <row r="576" s="18" customFormat="1" ht="12.75" customHeight="1" x14ac:dyDescent="0.25"/>
    <row r="577" s="18" customFormat="1" ht="12.75" customHeight="1" x14ac:dyDescent="0.25"/>
    <row r="578" s="18" customFormat="1" ht="12.75" customHeight="1" x14ac:dyDescent="0.25"/>
    <row r="579" s="18" customFormat="1" ht="12.75" customHeight="1" x14ac:dyDescent="0.25"/>
    <row r="580" s="18" customFormat="1" ht="12.75" customHeight="1" x14ac:dyDescent="0.25"/>
    <row r="581" s="18" customFormat="1" ht="12.75" customHeight="1" x14ac:dyDescent="0.25"/>
    <row r="582" s="18" customFormat="1" ht="12.75" customHeight="1" x14ac:dyDescent="0.25"/>
    <row r="583" s="18" customFormat="1" ht="12.75" customHeight="1" x14ac:dyDescent="0.25"/>
    <row r="584" s="18" customFormat="1" ht="12.75" customHeight="1" x14ac:dyDescent="0.25"/>
    <row r="585" s="18" customFormat="1" ht="12.75" customHeight="1" x14ac:dyDescent="0.25"/>
    <row r="586" s="18" customFormat="1" ht="12.75" customHeight="1" x14ac:dyDescent="0.25"/>
    <row r="587" s="18" customFormat="1" ht="12.75" customHeight="1" x14ac:dyDescent="0.25"/>
    <row r="588" s="18" customFormat="1" ht="12.75" customHeight="1" x14ac:dyDescent="0.25"/>
    <row r="589" s="18" customFormat="1" ht="12.75" customHeight="1" x14ac:dyDescent="0.25"/>
    <row r="590" s="18" customFormat="1" ht="12.75" customHeight="1" x14ac:dyDescent="0.25"/>
    <row r="591" s="18" customFormat="1" ht="12.75" customHeight="1" x14ac:dyDescent="0.25"/>
    <row r="592" s="18" customFormat="1" ht="12.75" customHeight="1" x14ac:dyDescent="0.25"/>
    <row r="593" s="18" customFormat="1" ht="12.75" customHeight="1" x14ac:dyDescent="0.25"/>
    <row r="594" s="18" customFormat="1" ht="12.75" customHeight="1" x14ac:dyDescent="0.25"/>
    <row r="595" s="18" customFormat="1" ht="12.75" customHeight="1" x14ac:dyDescent="0.25"/>
    <row r="596" s="18" customFormat="1" ht="12.75" customHeight="1" x14ac:dyDescent="0.25"/>
    <row r="597" s="18" customFormat="1" ht="12.75" customHeight="1" x14ac:dyDescent="0.25"/>
    <row r="598" s="18" customFormat="1" ht="12.75" customHeight="1" x14ac:dyDescent="0.25"/>
    <row r="599" s="18" customFormat="1" ht="12.75" customHeight="1" x14ac:dyDescent="0.25"/>
    <row r="600" s="18" customFormat="1" ht="12.75" customHeight="1" x14ac:dyDescent="0.25"/>
    <row r="601" s="18" customFormat="1" ht="12.75" customHeight="1" x14ac:dyDescent="0.25"/>
    <row r="602" s="18" customFormat="1" ht="12.75" customHeight="1" x14ac:dyDescent="0.25"/>
    <row r="603" s="18" customFormat="1" ht="12.75" customHeight="1" x14ac:dyDescent="0.25"/>
    <row r="604" s="18" customFormat="1" ht="12.75" customHeight="1" x14ac:dyDescent="0.25"/>
    <row r="605" s="18" customFormat="1" ht="12.75" customHeight="1" x14ac:dyDescent="0.25"/>
    <row r="606" s="18" customFormat="1" ht="12.75" customHeight="1" x14ac:dyDescent="0.25"/>
    <row r="607" s="18" customFormat="1" ht="12.75" customHeight="1" x14ac:dyDescent="0.25"/>
    <row r="608" s="18" customFormat="1" ht="12.75" customHeight="1" x14ac:dyDescent="0.25"/>
    <row r="609" s="18" customFormat="1" ht="12.75" customHeight="1" x14ac:dyDescent="0.25"/>
    <row r="610" s="18" customFormat="1" ht="12.75" customHeight="1" x14ac:dyDescent="0.25"/>
    <row r="611" s="18" customFormat="1" ht="12.75" customHeight="1" x14ac:dyDescent="0.25"/>
    <row r="612" s="18" customFormat="1" ht="12.75" customHeight="1" x14ac:dyDescent="0.25"/>
    <row r="613" s="18" customFormat="1" ht="12.75" customHeight="1" x14ac:dyDescent="0.25"/>
    <row r="614" s="18" customFormat="1" ht="12.75" customHeight="1" x14ac:dyDescent="0.25"/>
    <row r="615" s="18" customFormat="1" ht="12.75" customHeight="1" x14ac:dyDescent="0.25"/>
    <row r="616" s="18" customFormat="1" ht="12.75" customHeight="1" x14ac:dyDescent="0.25"/>
    <row r="617" s="18" customFormat="1" ht="12.75" customHeight="1" x14ac:dyDescent="0.25"/>
    <row r="618" s="18" customFormat="1" ht="12.75" customHeight="1" x14ac:dyDescent="0.25"/>
    <row r="619" s="18" customFormat="1" ht="12.75" customHeight="1" x14ac:dyDescent="0.25"/>
    <row r="620" s="18" customFormat="1" ht="12.75" customHeight="1" x14ac:dyDescent="0.25"/>
    <row r="621" s="18" customFormat="1" ht="12.75" customHeight="1" x14ac:dyDescent="0.25"/>
    <row r="622" s="18" customFormat="1" ht="12.75" customHeight="1" x14ac:dyDescent="0.25"/>
    <row r="623" s="18" customFormat="1" ht="12.75" customHeight="1" x14ac:dyDescent="0.25"/>
    <row r="624" s="18" customFormat="1" ht="12.75" customHeight="1" x14ac:dyDescent="0.25"/>
    <row r="625" s="18" customFormat="1" ht="12.75" customHeight="1" x14ac:dyDescent="0.25"/>
    <row r="626" s="18" customFormat="1" ht="12.75" customHeight="1" x14ac:dyDescent="0.25"/>
    <row r="627" s="18" customFormat="1" ht="12.75" customHeight="1" x14ac:dyDescent="0.25"/>
    <row r="628" s="18" customFormat="1" ht="12.75" customHeight="1" x14ac:dyDescent="0.25"/>
    <row r="629" s="18" customFormat="1" ht="12.75" customHeight="1" x14ac:dyDescent="0.25"/>
    <row r="630" s="18" customFormat="1" ht="12.75" customHeight="1" x14ac:dyDescent="0.25"/>
    <row r="631" s="18" customFormat="1" ht="12.75" customHeight="1" x14ac:dyDescent="0.25"/>
    <row r="632" s="18" customFormat="1" ht="12.75" customHeight="1" x14ac:dyDescent="0.25"/>
    <row r="633" s="18" customFormat="1" ht="12.75" customHeight="1" x14ac:dyDescent="0.25"/>
    <row r="634" s="18" customFormat="1" ht="12.75" customHeight="1" x14ac:dyDescent="0.25"/>
    <row r="635" s="18" customFormat="1" ht="12.75" customHeight="1" x14ac:dyDescent="0.25"/>
    <row r="636" s="18" customFormat="1" ht="12.75" customHeight="1" x14ac:dyDescent="0.25"/>
    <row r="637" s="18" customFormat="1" ht="12.75" customHeight="1" x14ac:dyDescent="0.25"/>
    <row r="638" s="18" customFormat="1" ht="12.75" customHeight="1" x14ac:dyDescent="0.25"/>
    <row r="639" s="18" customFormat="1" ht="12.75" customHeight="1" x14ac:dyDescent="0.25"/>
    <row r="640" s="18" customFormat="1" ht="12.75" customHeight="1" x14ac:dyDescent="0.25"/>
    <row r="641" s="18" customFormat="1" ht="12.75" customHeight="1" x14ac:dyDescent="0.25"/>
    <row r="642" s="18" customFormat="1" ht="12.75" customHeight="1" x14ac:dyDescent="0.25"/>
    <row r="643" s="18" customFormat="1" ht="12.75" customHeight="1" x14ac:dyDescent="0.25"/>
    <row r="644" s="18" customFormat="1" ht="12.75" customHeight="1" x14ac:dyDescent="0.25"/>
    <row r="645" s="18" customFormat="1" ht="12.75" customHeight="1" x14ac:dyDescent="0.25"/>
    <row r="646" s="18" customFormat="1" ht="12.75" customHeight="1" x14ac:dyDescent="0.25"/>
    <row r="647" s="18" customFormat="1" ht="12.75" customHeight="1" x14ac:dyDescent="0.25"/>
    <row r="648" s="18" customFormat="1" ht="12.75" customHeight="1" x14ac:dyDescent="0.25"/>
    <row r="649" s="18" customFormat="1" ht="12.75" customHeight="1" x14ac:dyDescent="0.25"/>
    <row r="650" s="18" customFormat="1" ht="12.75" customHeight="1" x14ac:dyDescent="0.25"/>
    <row r="651" s="18" customFormat="1" ht="12.75" customHeight="1" x14ac:dyDescent="0.25"/>
    <row r="652" s="18" customFormat="1" ht="12.75" customHeight="1" x14ac:dyDescent="0.25"/>
    <row r="653" s="18" customFormat="1" ht="12.75" customHeight="1" x14ac:dyDescent="0.25"/>
    <row r="654" s="18" customFormat="1" ht="12.75" customHeight="1" x14ac:dyDescent="0.25"/>
    <row r="655" s="18" customFormat="1" ht="12.75" customHeight="1" x14ac:dyDescent="0.25"/>
    <row r="656" s="18" customFormat="1" ht="12.75" customHeight="1" x14ac:dyDescent="0.25"/>
    <row r="657" s="18" customFormat="1" ht="12.75" customHeight="1" x14ac:dyDescent="0.25"/>
    <row r="658" s="18" customFormat="1" ht="12.75" customHeight="1" x14ac:dyDescent="0.25"/>
    <row r="659" s="18" customFormat="1" ht="12.75" customHeight="1" x14ac:dyDescent="0.25"/>
    <row r="660" s="18" customFormat="1" ht="12.75" customHeight="1" x14ac:dyDescent="0.25"/>
    <row r="661" s="18" customFormat="1" ht="12.75" customHeight="1" x14ac:dyDescent="0.25"/>
    <row r="662" s="18" customFormat="1" ht="12.75" customHeight="1" x14ac:dyDescent="0.25"/>
    <row r="663" s="18" customFormat="1" ht="12.75" customHeight="1" x14ac:dyDescent="0.25"/>
    <row r="664" s="18" customFormat="1" ht="12.75" customHeight="1" x14ac:dyDescent="0.25"/>
    <row r="665" s="18" customFormat="1" ht="12.75" customHeight="1" x14ac:dyDescent="0.25"/>
    <row r="666" s="18" customFormat="1" ht="12.75" customHeight="1" x14ac:dyDescent="0.25"/>
    <row r="667" s="18" customFormat="1" ht="12.75" customHeight="1" x14ac:dyDescent="0.25"/>
    <row r="668" s="18" customFormat="1" ht="12.75" customHeight="1" x14ac:dyDescent="0.25"/>
    <row r="669" s="18" customFormat="1" ht="12.75" customHeight="1" x14ac:dyDescent="0.25"/>
    <row r="670" s="18" customFormat="1" ht="12.75" customHeight="1" x14ac:dyDescent="0.25"/>
    <row r="671" s="18" customFormat="1" ht="12.75" customHeight="1" x14ac:dyDescent="0.25"/>
    <row r="672" s="18" customFormat="1" ht="12.75" customHeight="1" x14ac:dyDescent="0.25"/>
    <row r="673" s="18" customFormat="1" ht="12.75" customHeight="1" x14ac:dyDescent="0.25"/>
    <row r="674" s="18" customFormat="1" ht="12.75" customHeight="1" x14ac:dyDescent="0.25"/>
    <row r="675" s="18" customFormat="1" ht="12.75" customHeight="1" x14ac:dyDescent="0.25"/>
    <row r="676" s="18" customFormat="1" ht="12.75" customHeight="1" x14ac:dyDescent="0.25"/>
    <row r="677" s="18" customFormat="1" ht="12.75" customHeight="1" x14ac:dyDescent="0.25"/>
    <row r="678" s="18" customFormat="1" ht="12.75" customHeight="1" x14ac:dyDescent="0.25"/>
    <row r="679" s="18" customFormat="1" ht="12.75" customHeight="1" x14ac:dyDescent="0.25"/>
    <row r="680" s="18" customFormat="1" ht="12.75" customHeight="1" x14ac:dyDescent="0.25"/>
    <row r="681" s="18" customFormat="1" ht="12.75" customHeight="1" x14ac:dyDescent="0.25"/>
    <row r="682" s="18" customFormat="1" ht="12.75" customHeight="1" x14ac:dyDescent="0.25"/>
    <row r="683" s="18" customFormat="1" ht="12.75" customHeight="1" x14ac:dyDescent="0.25"/>
    <row r="684" s="18" customFormat="1" ht="12.75" customHeight="1" x14ac:dyDescent="0.25"/>
    <row r="685" s="18" customFormat="1" ht="12.75" customHeight="1" x14ac:dyDescent="0.25"/>
    <row r="686" s="18" customFormat="1" ht="12.75" customHeight="1" x14ac:dyDescent="0.25"/>
    <row r="687" s="18" customFormat="1" ht="12.75" customHeight="1" x14ac:dyDescent="0.25"/>
    <row r="688" s="18" customFormat="1" ht="12.75" customHeight="1" x14ac:dyDescent="0.25"/>
    <row r="689" s="18" customFormat="1" ht="12.75" customHeight="1" x14ac:dyDescent="0.25"/>
    <row r="690" s="18" customFormat="1" ht="12.75" customHeight="1" x14ac:dyDescent="0.25"/>
    <row r="691" s="18" customFormat="1" ht="12.75" customHeight="1" x14ac:dyDescent="0.25"/>
    <row r="692" s="18" customFormat="1" ht="12.75" customHeight="1" x14ac:dyDescent="0.25"/>
    <row r="693" s="18" customFormat="1" ht="12.75" customHeight="1" x14ac:dyDescent="0.25"/>
    <row r="694" s="18" customFormat="1" ht="12.75" customHeight="1" x14ac:dyDescent="0.25"/>
    <row r="695" s="18" customFormat="1" ht="12.75" customHeight="1" x14ac:dyDescent="0.25"/>
    <row r="696" s="18" customFormat="1" ht="12.75" customHeight="1" x14ac:dyDescent="0.25"/>
    <row r="697" s="18" customFormat="1" ht="12.75" customHeight="1" x14ac:dyDescent="0.25"/>
    <row r="698" s="18" customFormat="1" ht="12.75" customHeight="1" x14ac:dyDescent="0.25"/>
    <row r="699" s="18" customFormat="1" ht="12.75" customHeight="1" x14ac:dyDescent="0.25"/>
    <row r="700" s="18" customFormat="1" ht="12.75" customHeight="1" x14ac:dyDescent="0.25"/>
    <row r="701" s="18" customFormat="1" ht="12.75" customHeight="1" x14ac:dyDescent="0.25"/>
    <row r="702" s="18" customFormat="1" ht="12.75" customHeight="1" x14ac:dyDescent="0.25"/>
    <row r="703" s="18" customFormat="1" ht="12.75" customHeight="1" x14ac:dyDescent="0.25"/>
    <row r="704" s="18" customFormat="1" ht="12.75" customHeight="1" x14ac:dyDescent="0.25"/>
    <row r="705" s="18" customFormat="1" ht="12.75" customHeight="1" x14ac:dyDescent="0.25"/>
    <row r="706" s="18" customFormat="1" ht="12.75" customHeight="1" x14ac:dyDescent="0.25"/>
    <row r="707" s="18" customFormat="1" ht="12.75" customHeight="1" x14ac:dyDescent="0.25"/>
    <row r="708" s="18" customFormat="1" ht="12.75" customHeight="1" x14ac:dyDescent="0.25"/>
    <row r="709" s="18" customFormat="1" ht="12.75" customHeight="1" x14ac:dyDescent="0.25"/>
    <row r="710" s="18" customFormat="1" ht="12.75" customHeight="1" x14ac:dyDescent="0.25"/>
    <row r="711" s="18" customFormat="1" ht="12.75" customHeight="1" x14ac:dyDescent="0.25"/>
    <row r="712" s="18" customFormat="1" ht="12.75" customHeight="1" x14ac:dyDescent="0.25"/>
    <row r="713" s="18" customFormat="1" ht="12.75" customHeight="1" x14ac:dyDescent="0.25"/>
    <row r="714" s="18" customFormat="1" ht="12.75" customHeight="1" x14ac:dyDescent="0.25"/>
    <row r="715" s="18" customFormat="1" ht="12.75" customHeight="1" x14ac:dyDescent="0.25"/>
    <row r="716" s="18" customFormat="1" ht="12.75" customHeight="1" x14ac:dyDescent="0.25"/>
    <row r="717" s="18" customFormat="1" ht="12.75" customHeight="1" x14ac:dyDescent="0.25"/>
    <row r="718" s="18" customFormat="1" ht="12.75" customHeight="1" x14ac:dyDescent="0.25"/>
    <row r="719" s="18" customFormat="1" ht="12.75" customHeight="1" x14ac:dyDescent="0.25"/>
    <row r="720" s="18" customFormat="1" ht="12.75" customHeight="1" x14ac:dyDescent="0.25"/>
    <row r="721" s="18" customFormat="1" ht="12.75" customHeight="1" x14ac:dyDescent="0.25"/>
    <row r="722" s="18" customFormat="1" ht="12.75" customHeight="1" x14ac:dyDescent="0.25"/>
    <row r="723" s="18" customFormat="1" ht="12.75" customHeight="1" x14ac:dyDescent="0.25"/>
    <row r="724" s="18" customFormat="1" ht="12.75" customHeight="1" x14ac:dyDescent="0.25"/>
    <row r="725" s="18" customFormat="1" ht="12.75" customHeight="1" x14ac:dyDescent="0.25"/>
    <row r="726" s="18" customFormat="1" ht="12.75" customHeight="1" x14ac:dyDescent="0.25"/>
    <row r="727" s="18" customFormat="1" ht="12.75" customHeight="1" x14ac:dyDescent="0.25"/>
    <row r="728" s="18" customFormat="1" ht="12.75" customHeight="1" x14ac:dyDescent="0.25"/>
    <row r="729" s="18" customFormat="1" ht="12.75" customHeight="1" x14ac:dyDescent="0.25"/>
    <row r="730" s="18" customFormat="1" ht="12.75" customHeight="1" x14ac:dyDescent="0.25"/>
    <row r="731" s="18" customFormat="1" ht="12.75" customHeight="1" x14ac:dyDescent="0.25"/>
    <row r="732" s="18" customFormat="1" ht="12.75" customHeight="1" x14ac:dyDescent="0.25"/>
    <row r="733" s="18" customFormat="1" ht="12.75" customHeight="1" x14ac:dyDescent="0.25"/>
    <row r="734" s="18" customFormat="1" ht="12.75" customHeight="1" x14ac:dyDescent="0.25"/>
    <row r="735" s="18" customFormat="1" ht="12.75" customHeight="1" x14ac:dyDescent="0.25"/>
    <row r="736" s="18" customFormat="1" ht="12.75" customHeight="1" x14ac:dyDescent="0.25"/>
    <row r="737" s="18" customFormat="1" ht="12.75" customHeight="1" x14ac:dyDescent="0.25"/>
    <row r="738" s="18" customFormat="1" ht="12.75" customHeight="1" x14ac:dyDescent="0.25"/>
    <row r="739" s="18" customFormat="1" ht="12.75" customHeight="1" x14ac:dyDescent="0.25"/>
    <row r="740" s="18" customFormat="1" ht="12.75" customHeight="1" x14ac:dyDescent="0.25"/>
    <row r="741" s="18" customFormat="1" ht="12.75" customHeight="1" x14ac:dyDescent="0.25"/>
    <row r="742" s="18" customFormat="1" ht="12.75" customHeight="1" x14ac:dyDescent="0.25"/>
    <row r="743" s="18" customFormat="1" ht="12.75" customHeight="1" x14ac:dyDescent="0.25"/>
    <row r="744" s="18" customFormat="1" ht="12.75" customHeight="1" x14ac:dyDescent="0.25"/>
    <row r="745" s="18" customFormat="1" ht="12.75" customHeight="1" x14ac:dyDescent="0.25"/>
    <row r="746" s="18" customFormat="1" ht="12.75" customHeight="1" x14ac:dyDescent="0.25"/>
    <row r="747" s="18" customFormat="1" ht="12.75" customHeight="1" x14ac:dyDescent="0.25"/>
    <row r="748" s="18" customFormat="1" ht="12.75" customHeight="1" x14ac:dyDescent="0.25"/>
    <row r="749" s="18" customFormat="1" ht="12.75" customHeight="1" x14ac:dyDescent="0.25"/>
    <row r="750" s="18" customFormat="1" ht="12.75" customHeight="1" x14ac:dyDescent="0.25"/>
    <row r="751" s="18" customFormat="1" ht="12.75" customHeight="1" x14ac:dyDescent="0.25"/>
    <row r="752" s="18" customFormat="1" ht="12.75" customHeight="1" x14ac:dyDescent="0.25"/>
    <row r="753" s="18" customFormat="1" ht="12.75" customHeight="1" x14ac:dyDescent="0.25"/>
    <row r="754" s="18" customFormat="1" ht="12.75" customHeight="1" x14ac:dyDescent="0.25"/>
    <row r="755" s="18" customFormat="1" ht="12.75" customHeight="1" x14ac:dyDescent="0.25"/>
    <row r="756" s="18" customFormat="1" ht="12.75" customHeight="1" x14ac:dyDescent="0.25"/>
    <row r="757" s="18" customFormat="1" ht="12.75" customHeight="1" x14ac:dyDescent="0.25"/>
    <row r="758" s="18" customFormat="1" ht="12.75" customHeight="1" x14ac:dyDescent="0.25"/>
    <row r="759" s="18" customFormat="1" ht="12.75" customHeight="1" x14ac:dyDescent="0.25"/>
    <row r="760" s="18" customFormat="1" ht="12.75" customHeight="1" x14ac:dyDescent="0.25"/>
    <row r="761" s="18" customFormat="1" ht="12.75" customHeight="1" x14ac:dyDescent="0.25"/>
    <row r="762" s="18" customFormat="1" ht="12.75" customHeight="1" x14ac:dyDescent="0.25"/>
    <row r="763" s="18" customFormat="1" ht="12.75" customHeight="1" x14ac:dyDescent="0.25"/>
    <row r="764" s="18" customFormat="1" ht="12.75" customHeight="1" x14ac:dyDescent="0.25"/>
    <row r="765" s="18" customFormat="1" ht="12.75" customHeight="1" x14ac:dyDescent="0.25"/>
    <row r="766" s="18" customFormat="1" ht="12.75" customHeight="1" x14ac:dyDescent="0.25"/>
    <row r="767" s="18" customFormat="1" ht="12.75" customHeight="1" x14ac:dyDescent="0.25"/>
    <row r="768" s="18" customFormat="1" ht="12.75" customHeight="1" x14ac:dyDescent="0.25"/>
    <row r="769" s="18" customFormat="1" ht="12.75" customHeight="1" x14ac:dyDescent="0.25"/>
    <row r="770" s="18" customFormat="1" ht="12.75" customHeight="1" x14ac:dyDescent="0.25"/>
    <row r="771" s="18" customFormat="1" ht="12.75" customHeight="1" x14ac:dyDescent="0.25"/>
    <row r="772" s="18" customFormat="1" ht="12.75" customHeight="1" x14ac:dyDescent="0.25"/>
    <row r="773" s="18" customFormat="1" ht="12.75" customHeight="1" x14ac:dyDescent="0.25"/>
    <row r="774" s="18" customFormat="1" ht="12.75" customHeight="1" x14ac:dyDescent="0.25"/>
    <row r="775" s="18" customFormat="1" ht="12.75" customHeight="1" x14ac:dyDescent="0.25"/>
    <row r="776" s="18" customFormat="1" ht="12.75" customHeight="1" x14ac:dyDescent="0.25"/>
    <row r="777" s="18" customFormat="1" ht="12.75" customHeight="1" x14ac:dyDescent="0.25"/>
    <row r="778" s="18" customFormat="1" ht="12.75" customHeight="1" x14ac:dyDescent="0.25"/>
    <row r="779" s="18" customFormat="1" ht="12.75" customHeight="1" x14ac:dyDescent="0.25"/>
    <row r="780" s="18" customFormat="1" ht="12.75" customHeight="1" x14ac:dyDescent="0.25"/>
    <row r="781" s="18" customFormat="1" ht="12.75" customHeight="1" x14ac:dyDescent="0.25"/>
    <row r="782" s="18" customFormat="1" ht="12.75" customHeight="1" x14ac:dyDescent="0.25"/>
    <row r="783" s="18" customFormat="1" ht="12.75" customHeight="1" x14ac:dyDescent="0.25"/>
    <row r="784" s="18" customFormat="1" ht="12.75" customHeight="1" x14ac:dyDescent="0.25"/>
    <row r="785" s="18" customFormat="1" ht="12.75" customHeight="1" x14ac:dyDescent="0.25"/>
    <row r="786" s="18" customFormat="1" ht="12.75" customHeight="1" x14ac:dyDescent="0.25"/>
    <row r="787" s="18" customFormat="1" ht="12.75" customHeight="1" x14ac:dyDescent="0.25"/>
    <row r="788" s="18" customFormat="1" ht="12.75" customHeight="1" x14ac:dyDescent="0.25"/>
    <row r="789" s="18" customFormat="1" ht="12.75" customHeight="1" x14ac:dyDescent="0.25"/>
    <row r="790" s="18" customFormat="1" ht="12.75" customHeight="1" x14ac:dyDescent="0.25"/>
    <row r="791" s="18" customFormat="1" ht="12.75" customHeight="1" x14ac:dyDescent="0.25"/>
    <row r="792" s="18" customFormat="1" ht="12.75" customHeight="1" x14ac:dyDescent="0.25"/>
    <row r="793" s="18" customFormat="1" ht="12.75" customHeight="1" x14ac:dyDescent="0.25"/>
    <row r="794" s="18" customFormat="1" ht="12.75" customHeight="1" x14ac:dyDescent="0.25"/>
    <row r="795" s="18" customFormat="1" ht="12.75" customHeight="1" x14ac:dyDescent="0.25"/>
    <row r="796" s="18" customFormat="1" ht="12.75" customHeight="1" x14ac:dyDescent="0.25"/>
    <row r="797" s="18" customFormat="1" ht="12.75" customHeight="1" x14ac:dyDescent="0.25"/>
    <row r="798" s="18" customFormat="1" ht="12.75" customHeight="1" x14ac:dyDescent="0.25"/>
    <row r="799" s="18" customFormat="1" ht="12.75" customHeight="1" x14ac:dyDescent="0.25"/>
    <row r="800" s="18" customFormat="1" ht="12.75" customHeight="1" x14ac:dyDescent="0.25"/>
    <row r="801" s="18" customFormat="1" ht="12.75" customHeight="1" x14ac:dyDescent="0.25"/>
    <row r="802" s="18" customFormat="1" ht="12.75" customHeight="1" x14ac:dyDescent="0.25"/>
    <row r="803" s="18" customFormat="1" ht="12.75" customHeight="1" x14ac:dyDescent="0.25"/>
    <row r="804" s="18" customFormat="1" ht="12.75" customHeight="1" x14ac:dyDescent="0.25"/>
    <row r="805" s="18" customFormat="1" ht="12.75" customHeight="1" x14ac:dyDescent="0.25"/>
    <row r="806" s="18" customFormat="1" ht="12.75" customHeight="1" x14ac:dyDescent="0.25"/>
    <row r="807" s="18" customFormat="1" ht="12.75" customHeight="1" x14ac:dyDescent="0.25"/>
    <row r="808" s="18" customFormat="1" ht="12.75" customHeight="1" x14ac:dyDescent="0.25"/>
    <row r="809" s="18" customFormat="1" ht="12.75" customHeight="1" x14ac:dyDescent="0.25"/>
    <row r="810" s="18" customFormat="1" ht="12.75" customHeight="1" x14ac:dyDescent="0.25"/>
    <row r="811" s="18" customFormat="1" ht="12.75" customHeight="1" x14ac:dyDescent="0.25"/>
    <row r="812" s="18" customFormat="1" ht="12.75" customHeight="1" x14ac:dyDescent="0.25"/>
    <row r="813" s="18" customFormat="1" ht="12.75" customHeight="1" x14ac:dyDescent="0.25"/>
    <row r="814" s="18" customFormat="1" ht="12.75" customHeight="1" x14ac:dyDescent="0.25"/>
    <row r="815" s="18" customFormat="1" ht="12.75" customHeight="1" x14ac:dyDescent="0.25"/>
    <row r="816" s="18" customFormat="1" ht="12.75" customHeight="1" x14ac:dyDescent="0.25"/>
    <row r="817" s="18" customFormat="1" ht="12.75" customHeight="1" x14ac:dyDescent="0.25"/>
    <row r="818" s="18" customFormat="1" ht="12.75" customHeight="1" x14ac:dyDescent="0.25"/>
    <row r="819" s="18" customFormat="1" ht="12.75" customHeight="1" x14ac:dyDescent="0.25"/>
    <row r="820" s="18" customFormat="1" ht="12.75" customHeight="1" x14ac:dyDescent="0.25"/>
    <row r="821" s="18" customFormat="1" ht="12.75" customHeight="1" x14ac:dyDescent="0.25"/>
    <row r="822" s="18" customFormat="1" ht="12.75" customHeight="1" x14ac:dyDescent="0.25"/>
    <row r="823" s="18" customFormat="1" ht="12.75" customHeight="1" x14ac:dyDescent="0.25"/>
    <row r="824" s="18" customFormat="1" ht="12.75" customHeight="1" x14ac:dyDescent="0.25"/>
    <row r="825" s="18" customFormat="1" ht="12.75" customHeight="1" x14ac:dyDescent="0.25"/>
    <row r="826" s="18" customFormat="1" ht="12.75" customHeight="1" x14ac:dyDescent="0.25"/>
    <row r="827" s="18" customFormat="1" ht="12.75" customHeight="1" x14ac:dyDescent="0.25"/>
    <row r="828" s="18" customFormat="1" ht="12.75" customHeight="1" x14ac:dyDescent="0.25"/>
    <row r="829" s="18" customFormat="1" ht="12.75" customHeight="1" x14ac:dyDescent="0.25"/>
    <row r="830" s="18" customFormat="1" ht="12.75" customHeight="1" x14ac:dyDescent="0.25"/>
    <row r="831" s="18" customFormat="1" ht="12.75" customHeight="1" x14ac:dyDescent="0.25"/>
    <row r="832" s="18" customFormat="1" ht="12.75" customHeight="1" x14ac:dyDescent="0.25"/>
    <row r="833" s="18" customFormat="1" ht="12.75" customHeight="1" x14ac:dyDescent="0.25"/>
    <row r="834" s="18" customFormat="1" ht="12.75" customHeight="1" x14ac:dyDescent="0.25"/>
    <row r="835" s="18" customFormat="1" ht="12.75" customHeight="1" x14ac:dyDescent="0.25"/>
    <row r="836" s="18" customFormat="1" ht="12.75" customHeight="1" x14ac:dyDescent="0.25"/>
    <row r="837" s="18" customFormat="1" ht="12.75" customHeight="1" x14ac:dyDescent="0.25"/>
    <row r="838" s="18" customFormat="1" ht="12.75" customHeight="1" x14ac:dyDescent="0.25"/>
    <row r="839" s="18" customFormat="1" ht="12.75" customHeight="1" x14ac:dyDescent="0.25"/>
    <row r="840" s="18" customFormat="1" ht="12.75" customHeight="1" x14ac:dyDescent="0.25"/>
    <row r="841" s="18" customFormat="1" ht="12.75" customHeight="1" x14ac:dyDescent="0.25"/>
    <row r="842" s="18" customFormat="1" ht="12.75" customHeight="1" x14ac:dyDescent="0.25"/>
    <row r="843" s="18" customFormat="1" ht="12.75" customHeight="1" x14ac:dyDescent="0.25"/>
    <row r="844" s="18" customFormat="1" ht="12.75" customHeight="1" x14ac:dyDescent="0.25"/>
    <row r="845" s="18" customFormat="1" ht="12.75" customHeight="1" x14ac:dyDescent="0.25"/>
    <row r="846" s="18" customFormat="1" ht="12.75" customHeight="1" x14ac:dyDescent="0.25"/>
    <row r="847" s="18" customFormat="1" ht="12.75" customHeight="1" x14ac:dyDescent="0.25"/>
    <row r="848" s="18" customFormat="1" ht="12.75" customHeight="1" x14ac:dyDescent="0.25"/>
    <row r="849" s="18" customFormat="1" ht="12.75" customHeight="1" x14ac:dyDescent="0.25"/>
    <row r="850" s="18" customFormat="1" ht="12.75" customHeight="1" x14ac:dyDescent="0.25"/>
    <row r="851" s="18" customFormat="1" ht="12.75" customHeight="1" x14ac:dyDescent="0.25"/>
    <row r="852" s="18" customFormat="1" ht="12.75" customHeight="1" x14ac:dyDescent="0.25"/>
    <row r="853" s="18" customFormat="1" ht="12.75" customHeight="1" x14ac:dyDescent="0.25"/>
    <row r="854" s="18" customFormat="1" ht="12.75" customHeight="1" x14ac:dyDescent="0.25"/>
    <row r="855" s="18" customFormat="1" ht="12.75" customHeight="1" x14ac:dyDescent="0.25"/>
    <row r="856" s="18" customFormat="1" ht="12.75" customHeight="1" x14ac:dyDescent="0.25"/>
    <row r="857" s="18" customFormat="1" ht="12.75" customHeight="1" x14ac:dyDescent="0.25"/>
    <row r="858" s="18" customFormat="1" ht="12.75" customHeight="1" x14ac:dyDescent="0.25"/>
    <row r="859" s="18" customFormat="1" ht="12.75" customHeight="1" x14ac:dyDescent="0.25"/>
    <row r="860" s="18" customFormat="1" ht="12.75" customHeight="1" x14ac:dyDescent="0.25"/>
    <row r="861" s="18" customFormat="1" ht="12.75" customHeight="1" x14ac:dyDescent="0.25"/>
    <row r="862" s="18" customFormat="1" ht="12.75" customHeight="1" x14ac:dyDescent="0.25"/>
    <row r="863" s="18" customFormat="1" ht="12.75" customHeight="1" x14ac:dyDescent="0.25"/>
    <row r="864" s="18" customFormat="1" ht="12.75" customHeight="1" x14ac:dyDescent="0.25"/>
    <row r="865" s="18" customFormat="1" ht="12.75" customHeight="1" x14ac:dyDescent="0.25"/>
    <row r="866" s="18" customFormat="1" ht="12.75" customHeight="1" x14ac:dyDescent="0.25"/>
    <row r="867" s="18" customFormat="1" ht="12.75" customHeight="1" x14ac:dyDescent="0.25"/>
    <row r="868" s="18" customFormat="1" ht="12.75" customHeight="1" x14ac:dyDescent="0.25"/>
    <row r="869" s="18" customFormat="1" ht="12.75" customHeight="1" x14ac:dyDescent="0.25"/>
    <row r="870" s="18" customFormat="1" ht="12.75" customHeight="1" x14ac:dyDescent="0.25"/>
    <row r="871" s="18" customFormat="1" ht="12.75" customHeight="1" x14ac:dyDescent="0.25"/>
    <row r="872" s="18" customFormat="1" ht="12.75" customHeight="1" x14ac:dyDescent="0.25"/>
    <row r="873" s="18" customFormat="1" ht="12.75" customHeight="1" x14ac:dyDescent="0.25"/>
    <row r="874" s="18" customFormat="1" ht="12.75" customHeight="1" x14ac:dyDescent="0.25"/>
    <row r="875" s="18" customFormat="1" ht="12.75" customHeight="1" x14ac:dyDescent="0.25"/>
    <row r="876" s="18" customFormat="1" ht="12.75" customHeight="1" x14ac:dyDescent="0.25"/>
    <row r="877" s="18" customFormat="1" ht="12.75" customHeight="1" x14ac:dyDescent="0.25"/>
    <row r="878" s="18" customFormat="1" ht="12.75" customHeight="1" x14ac:dyDescent="0.25"/>
    <row r="879" s="18" customFormat="1" ht="12.75" customHeight="1" x14ac:dyDescent="0.25"/>
    <row r="880" s="18" customFormat="1" ht="12.75" customHeight="1" x14ac:dyDescent="0.25"/>
    <row r="881" s="18" customFormat="1" ht="12.75" customHeight="1" x14ac:dyDescent="0.25"/>
    <row r="882" s="18" customFormat="1" ht="12.75" customHeight="1" x14ac:dyDescent="0.25"/>
    <row r="883" s="18" customFormat="1" ht="12.75" customHeight="1" x14ac:dyDescent="0.25"/>
    <row r="884" s="18" customFormat="1" ht="12.75" customHeight="1" x14ac:dyDescent="0.25"/>
    <row r="885" s="18" customFormat="1" ht="12.75" customHeight="1" x14ac:dyDescent="0.25"/>
    <row r="886" s="18" customFormat="1" ht="12.75" customHeight="1" x14ac:dyDescent="0.25"/>
    <row r="887" s="18" customFormat="1" ht="12.75" customHeight="1" x14ac:dyDescent="0.25"/>
    <row r="888" s="18" customFormat="1" ht="12.75" customHeight="1" x14ac:dyDescent="0.25"/>
    <row r="889" s="18" customFormat="1" ht="12.75" customHeight="1" x14ac:dyDescent="0.25"/>
    <row r="890" s="18" customFormat="1" ht="12.75" customHeight="1" x14ac:dyDescent="0.25"/>
    <row r="891" s="18" customFormat="1" ht="12.75" customHeight="1" x14ac:dyDescent="0.25"/>
    <row r="892" s="18" customFormat="1" ht="12.75" customHeight="1" x14ac:dyDescent="0.25"/>
    <row r="893" s="18" customFormat="1" ht="12.75" customHeight="1" x14ac:dyDescent="0.25"/>
    <row r="894" s="18" customFormat="1" ht="12.75" customHeight="1" x14ac:dyDescent="0.25"/>
    <row r="895" s="18" customFormat="1" ht="12.75" customHeight="1" x14ac:dyDescent="0.25"/>
    <row r="896" s="18" customFormat="1" ht="12.75" customHeight="1" x14ac:dyDescent="0.25"/>
    <row r="897" s="18" customFormat="1" ht="12.75" customHeight="1" x14ac:dyDescent="0.25"/>
    <row r="898" s="18" customFormat="1" ht="12.75" customHeight="1" x14ac:dyDescent="0.25"/>
    <row r="899" s="18" customFormat="1" ht="12.75" customHeight="1" x14ac:dyDescent="0.25"/>
    <row r="900" s="18" customFormat="1" ht="12.75" customHeight="1" x14ac:dyDescent="0.25"/>
    <row r="901" s="18" customFormat="1" ht="12.75" customHeight="1" x14ac:dyDescent="0.25"/>
    <row r="902" s="18" customFormat="1" ht="12.75" customHeight="1" x14ac:dyDescent="0.25"/>
    <row r="903" s="18" customFormat="1" ht="12.75" customHeight="1" x14ac:dyDescent="0.25"/>
    <row r="904" s="18" customFormat="1" ht="12.75" customHeight="1" x14ac:dyDescent="0.25"/>
    <row r="905" s="18" customFormat="1" ht="12.75" customHeight="1" x14ac:dyDescent="0.25"/>
    <row r="906" s="18" customFormat="1" ht="12.75" customHeight="1" x14ac:dyDescent="0.25"/>
    <row r="907" s="18" customFormat="1" ht="12.75" customHeight="1" x14ac:dyDescent="0.25"/>
    <row r="908" s="18" customFormat="1" ht="12.75" customHeight="1" x14ac:dyDescent="0.25"/>
    <row r="909" s="18" customFormat="1" ht="12.75" customHeight="1" x14ac:dyDescent="0.25"/>
    <row r="910" s="18" customFormat="1" ht="12.75" customHeight="1" x14ac:dyDescent="0.25"/>
    <row r="911" s="18" customFormat="1" ht="12.75" customHeight="1" x14ac:dyDescent="0.25"/>
    <row r="912" s="18" customFormat="1" ht="12.75" customHeight="1" x14ac:dyDescent="0.25"/>
    <row r="913" s="18" customFormat="1" ht="12.75" customHeight="1" x14ac:dyDescent="0.25"/>
    <row r="914" s="18" customFormat="1" ht="12.75" customHeight="1" x14ac:dyDescent="0.25"/>
    <row r="915" s="18" customFormat="1" ht="12.75" customHeight="1" x14ac:dyDescent="0.25"/>
    <row r="916" s="18" customFormat="1" ht="12.75" customHeight="1" x14ac:dyDescent="0.25"/>
    <row r="917" s="18" customFormat="1" ht="12.75" customHeight="1" x14ac:dyDescent="0.25"/>
    <row r="918" s="18" customFormat="1" ht="12.75" customHeight="1" x14ac:dyDescent="0.25"/>
    <row r="919" s="18" customFormat="1" ht="12.75" customHeight="1" x14ac:dyDescent="0.25"/>
    <row r="920" s="18" customFormat="1" ht="12.75" customHeight="1" x14ac:dyDescent="0.25"/>
    <row r="921" s="18" customFormat="1" ht="12.75" customHeight="1" x14ac:dyDescent="0.25"/>
    <row r="922" s="18" customFormat="1" ht="12.75" customHeight="1" x14ac:dyDescent="0.25"/>
    <row r="923" s="18" customFormat="1" ht="12.75" customHeight="1" x14ac:dyDescent="0.25"/>
    <row r="924" s="18" customFormat="1" ht="12.75" customHeight="1" x14ac:dyDescent="0.25"/>
    <row r="925" s="18" customFormat="1" ht="12.75" customHeight="1" x14ac:dyDescent="0.25"/>
    <row r="926" s="18" customFormat="1" ht="12.75" customHeight="1" x14ac:dyDescent="0.25"/>
    <row r="927" s="18" customFormat="1" ht="12.75" customHeight="1" x14ac:dyDescent="0.25"/>
    <row r="928" s="18" customFormat="1" ht="12.75" customHeight="1" x14ac:dyDescent="0.25"/>
    <row r="929" s="18" customFormat="1" ht="12.75" customHeight="1" x14ac:dyDescent="0.25"/>
    <row r="930" s="18" customFormat="1" ht="12.75" customHeight="1" x14ac:dyDescent="0.25"/>
    <row r="931" s="18" customFormat="1" ht="12.75" customHeight="1" x14ac:dyDescent="0.25"/>
    <row r="932" s="18" customFormat="1" ht="12.75" customHeight="1" x14ac:dyDescent="0.25"/>
    <row r="933" s="18" customFormat="1" ht="12.75" customHeight="1" x14ac:dyDescent="0.25"/>
    <row r="934" s="18" customFormat="1" ht="12.75" customHeight="1" x14ac:dyDescent="0.25"/>
    <row r="935" s="18" customFormat="1" ht="12.75" customHeight="1" x14ac:dyDescent="0.25"/>
    <row r="936" s="18" customFormat="1" ht="12.75" customHeight="1" x14ac:dyDescent="0.25"/>
    <row r="937" s="18" customFormat="1" ht="12.75" customHeight="1" x14ac:dyDescent="0.25"/>
    <row r="938" s="18" customFormat="1" ht="12.75" customHeight="1" x14ac:dyDescent="0.25"/>
    <row r="939" s="18" customFormat="1" ht="12.75" customHeight="1" x14ac:dyDescent="0.25"/>
    <row r="940" s="18" customFormat="1" ht="12.75" customHeight="1" x14ac:dyDescent="0.25"/>
    <row r="941" s="18" customFormat="1" ht="12.75" customHeight="1" x14ac:dyDescent="0.25"/>
    <row r="942" s="18" customFormat="1" ht="12.75" customHeight="1" x14ac:dyDescent="0.25"/>
    <row r="943" s="18" customFormat="1" ht="12.75" customHeight="1" x14ac:dyDescent="0.25"/>
    <row r="944" s="18" customFormat="1" ht="12.75" customHeight="1" x14ac:dyDescent="0.25"/>
    <row r="945" s="18" customFormat="1" ht="12.75" customHeight="1" x14ac:dyDescent="0.25"/>
    <row r="946" s="18" customFormat="1" ht="12.75" customHeight="1" x14ac:dyDescent="0.25"/>
    <row r="947" s="18" customFormat="1" ht="12.75" customHeight="1" x14ac:dyDescent="0.25"/>
    <row r="948" s="18" customFormat="1" ht="12.75" customHeight="1" x14ac:dyDescent="0.25"/>
    <row r="949" s="18" customFormat="1" ht="12.75" customHeight="1" x14ac:dyDescent="0.25"/>
    <row r="950" s="18" customFormat="1" ht="12.75" customHeight="1" x14ac:dyDescent="0.25"/>
    <row r="951" s="18" customFormat="1" ht="12.75" customHeight="1" x14ac:dyDescent="0.25"/>
    <row r="952" s="18" customFormat="1" ht="12.75" customHeight="1" x14ac:dyDescent="0.25"/>
    <row r="953" s="18" customFormat="1" ht="12.75" customHeight="1" x14ac:dyDescent="0.25"/>
    <row r="954" s="18" customFormat="1" ht="12.75" customHeight="1" x14ac:dyDescent="0.25"/>
    <row r="955" s="18" customFormat="1" ht="12.75" customHeight="1" x14ac:dyDescent="0.25"/>
    <row r="956" s="18" customFormat="1" ht="12.75" customHeight="1" x14ac:dyDescent="0.25"/>
    <row r="957" s="18" customFormat="1" ht="12.75" customHeight="1" x14ac:dyDescent="0.25"/>
    <row r="958" s="18" customFormat="1" ht="12.75" customHeight="1" x14ac:dyDescent="0.25"/>
    <row r="959" s="18" customFormat="1" ht="12.75" customHeight="1" x14ac:dyDescent="0.25"/>
    <row r="960" s="18" customFormat="1" ht="12.75" customHeight="1" x14ac:dyDescent="0.25"/>
    <row r="961" s="18" customFormat="1" ht="12.75" customHeight="1" x14ac:dyDescent="0.25"/>
    <row r="962" s="18" customFormat="1" ht="12.75" customHeight="1" x14ac:dyDescent="0.25"/>
    <row r="963" s="18" customFormat="1" ht="12.75" customHeight="1" x14ac:dyDescent="0.25"/>
    <row r="964" s="18" customFormat="1" ht="12.75" customHeight="1" x14ac:dyDescent="0.25"/>
    <row r="965" s="18" customFormat="1" ht="12.75" customHeight="1" x14ac:dyDescent="0.25"/>
    <row r="966" s="18" customFormat="1" ht="12.75" customHeight="1" x14ac:dyDescent="0.25"/>
    <row r="967" s="18" customFormat="1" ht="12.75" customHeight="1" x14ac:dyDescent="0.25"/>
    <row r="968" s="18" customFormat="1" ht="12.75" customHeight="1" x14ac:dyDescent="0.25"/>
    <row r="969" s="18" customFormat="1" ht="12.75" customHeight="1" x14ac:dyDescent="0.25"/>
    <row r="970" s="18" customFormat="1" ht="12.75" customHeight="1" x14ac:dyDescent="0.25"/>
    <row r="971" s="18" customFormat="1" ht="12.75" customHeight="1" x14ac:dyDescent="0.25"/>
    <row r="972" s="18" customFormat="1" ht="12.75" customHeight="1" x14ac:dyDescent="0.25"/>
    <row r="973" s="18" customFormat="1" ht="12.75" customHeight="1" x14ac:dyDescent="0.25"/>
    <row r="974" s="18" customFormat="1" ht="12.75" customHeight="1" x14ac:dyDescent="0.25"/>
    <row r="975" s="18" customFormat="1" ht="12.75" customHeight="1" x14ac:dyDescent="0.25"/>
    <row r="976" s="18" customFormat="1" ht="12.75" customHeight="1" x14ac:dyDescent="0.25"/>
    <row r="977" s="18" customFormat="1" ht="12.75" customHeight="1" x14ac:dyDescent="0.25"/>
    <row r="978" s="18" customFormat="1" ht="12.75" customHeight="1" x14ac:dyDescent="0.25"/>
    <row r="979" s="18" customFormat="1" ht="12.75" customHeight="1" x14ac:dyDescent="0.25"/>
    <row r="980" s="18" customFormat="1" ht="12.75" customHeight="1" x14ac:dyDescent="0.25"/>
    <row r="981" s="18" customFormat="1" ht="12.75" customHeight="1" x14ac:dyDescent="0.25"/>
    <row r="982" s="18" customFormat="1" ht="12.75" customHeight="1" x14ac:dyDescent="0.25"/>
    <row r="983" s="18" customFormat="1" ht="12.75" customHeight="1" x14ac:dyDescent="0.25"/>
    <row r="984" s="18" customFormat="1" ht="12.75" customHeight="1" x14ac:dyDescent="0.25"/>
    <row r="985" s="18" customFormat="1" ht="12.75" customHeight="1" x14ac:dyDescent="0.25"/>
    <row r="986" s="18" customFormat="1" ht="12.75" customHeight="1" x14ac:dyDescent="0.25"/>
    <row r="987" s="18" customFormat="1" ht="12.75" customHeight="1" x14ac:dyDescent="0.25"/>
    <row r="988" s="18" customFormat="1" ht="12.75" customHeight="1" x14ac:dyDescent="0.25"/>
    <row r="989" s="18" customFormat="1" ht="12.75" customHeight="1" x14ac:dyDescent="0.25"/>
    <row r="990" s="18" customFormat="1" ht="12.75" customHeight="1" x14ac:dyDescent="0.25"/>
    <row r="991" s="18" customFormat="1" ht="12.75" customHeight="1" x14ac:dyDescent="0.25"/>
    <row r="992" s="18" customFormat="1" ht="12.75" customHeight="1" x14ac:dyDescent="0.25"/>
    <row r="993" s="18" customFormat="1" ht="12.75" customHeight="1" x14ac:dyDescent="0.25"/>
    <row r="994" s="18" customFormat="1" ht="12.75" customHeight="1" x14ac:dyDescent="0.25"/>
    <row r="995" s="18" customFormat="1" ht="12.75" customHeight="1" x14ac:dyDescent="0.25"/>
    <row r="996" s="18" customFormat="1" ht="12.75" customHeight="1" x14ac:dyDescent="0.25"/>
    <row r="997" s="18" customFormat="1" ht="12.75" customHeight="1" x14ac:dyDescent="0.25"/>
    <row r="998" s="18" customFormat="1" ht="12.75" customHeight="1" x14ac:dyDescent="0.25"/>
    <row r="999" s="18" customFormat="1" ht="12.75" customHeight="1" x14ac:dyDescent="0.25"/>
    <row r="1000" s="18" customFormat="1" ht="12.75" customHeight="1" x14ac:dyDescent="0.25"/>
  </sheetData>
  <mergeCells count="10">
    <mergeCell ref="B1:N1"/>
    <mergeCell ref="B2:M2"/>
    <mergeCell ref="C5:E5"/>
    <mergeCell ref="J8:J9"/>
    <mergeCell ref="K8:K9"/>
    <mergeCell ref="D43:E43"/>
    <mergeCell ref="D42:E42"/>
    <mergeCell ref="D44:E44"/>
    <mergeCell ref="D45:G45"/>
    <mergeCell ref="D41:E41"/>
  </mergeCells>
  <pageMargins left="0.7" right="0.7" top="0.75" bottom="0.75" header="0" footer="0"/>
  <pageSetup scale="94" orientation="landscape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Шаблон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Corporation</dc:creator>
  <cp:lastModifiedBy>Эдуард Баер</cp:lastModifiedBy>
  <cp:lastPrinted>2023-06-19T05:48:10Z</cp:lastPrinted>
  <dcterms:created xsi:type="dcterms:W3CDTF">1996-10-08T23:32:33Z</dcterms:created>
  <dcterms:modified xsi:type="dcterms:W3CDTF">2025-10-26T20:21:40Z</dcterms:modified>
</cp:coreProperties>
</file>